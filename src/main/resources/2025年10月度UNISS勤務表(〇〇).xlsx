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kihirokakutani/Documents/GitHub/Kotlin_SpringBoot/src/main/resources/"/>
    </mc:Choice>
  </mc:AlternateContent>
  <xr:revisionPtr revIDLastSave="0" documentId="13_ncr:1_{F0D47118-4F28-934A-AF7E-DCDA7419FAD9}" xr6:coauthVersionLast="47" xr6:coauthVersionMax="47" xr10:uidLastSave="{00000000-0000-0000-0000-000000000000}"/>
  <bookViews>
    <workbookView xWindow="0" yWindow="620" windowWidth="29040" windowHeight="15720" xr2:uid="{5FD4C467-C22C-E24D-BDF3-40761EFBB2C5}"/>
  </bookViews>
  <sheets>
    <sheet name="ユーニス勤務表2025改良版" sheetId="4" r:id="rId1"/>
  </sheets>
  <definedNames>
    <definedName name="_xlnm._FilterDatabase" localSheetId="0" hidden="1">ユーニス勤務表2025改良版!$B$9:$AL$39</definedName>
    <definedName name="_xlnm.Print_Area" localSheetId="0">ユーニス勤務表2025改良版!$A$1:$AB$42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AN11" i="4"/>
  <c r="AO11" i="4"/>
  <c r="AN12" i="4"/>
  <c r="AO12" i="4"/>
  <c r="AN13" i="4"/>
  <c r="AO13" i="4"/>
  <c r="AN14" i="4"/>
  <c r="AO14" i="4"/>
  <c r="AN15" i="4"/>
  <c r="AO15" i="4"/>
  <c r="AN16" i="4"/>
  <c r="AO16" i="4"/>
  <c r="AN17" i="4"/>
  <c r="AO17" i="4"/>
  <c r="AN18" i="4"/>
  <c r="AO18" i="4"/>
  <c r="AN19" i="4"/>
  <c r="AO19" i="4"/>
  <c r="AN20" i="4"/>
  <c r="AO20" i="4"/>
  <c r="AN21" i="4"/>
  <c r="AO21" i="4"/>
  <c r="AN22" i="4"/>
  <c r="AO22" i="4"/>
  <c r="AN23" i="4"/>
  <c r="AO23" i="4"/>
  <c r="AN24" i="4"/>
  <c r="AO24" i="4"/>
  <c r="AN25" i="4"/>
  <c r="AO25" i="4"/>
  <c r="AN26" i="4"/>
  <c r="AO26" i="4"/>
  <c r="AN27" i="4"/>
  <c r="AO27" i="4"/>
  <c r="AN28" i="4"/>
  <c r="AO28" i="4"/>
  <c r="AN29" i="4"/>
  <c r="AO29" i="4"/>
  <c r="AN30" i="4"/>
  <c r="AO30" i="4"/>
  <c r="AN31" i="4"/>
  <c r="AO31" i="4"/>
  <c r="AN32" i="4"/>
  <c r="AO32" i="4"/>
  <c r="AN33" i="4"/>
  <c r="AO33" i="4"/>
  <c r="AN34" i="4"/>
  <c r="AO34" i="4"/>
  <c r="AN35" i="4"/>
  <c r="AO35" i="4"/>
  <c r="AN36" i="4"/>
  <c r="AO36" i="4"/>
  <c r="AN37" i="4"/>
  <c r="AO37" i="4"/>
  <c r="AN38" i="4"/>
  <c r="AO38" i="4"/>
  <c r="AN39" i="4"/>
  <c r="AO39" i="4"/>
  <c r="AN40" i="4"/>
  <c r="AO40" i="4"/>
  <c r="AL11" i="4"/>
  <c r="AL12" i="4"/>
  <c r="AL13" i="4"/>
  <c r="AL14" i="4"/>
  <c r="AL15" i="4"/>
  <c r="AL16" i="4"/>
  <c r="AL17" i="4"/>
  <c r="AL18" i="4"/>
  <c r="AL19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N10" i="4"/>
  <c r="AO10" i="4"/>
  <c r="AL10" i="4"/>
  <c r="T45" i="4" l="1"/>
  <c r="E45" i="4"/>
  <c r="D45" i="4"/>
  <c r="U41" i="4"/>
  <c r="H45" i="4" s="1"/>
  <c r="T41" i="4"/>
  <c r="S41" i="4"/>
  <c r="R41" i="4"/>
  <c r="L45" i="4" s="1"/>
  <c r="Q41" i="4"/>
  <c r="K45" i="4" s="1"/>
  <c r="P41" i="4"/>
  <c r="J45" i="4" s="1" a="1"/>
  <c r="J45" i="4" s="1"/>
  <c r="O41" i="4"/>
  <c r="G45" i="4" s="1"/>
  <c r="N41" i="4"/>
  <c r="F45" i="4" s="1"/>
  <c r="M41" i="4"/>
  <c r="L41" i="4"/>
  <c r="K41" i="4"/>
  <c r="AM40" i="4"/>
  <c r="AD40" i="4"/>
  <c r="AC40" i="4"/>
  <c r="AM39" i="4"/>
  <c r="AD39" i="4"/>
  <c r="AC39" i="4"/>
  <c r="AM38" i="4"/>
  <c r="AD38" i="4"/>
  <c r="AC38" i="4"/>
  <c r="AM37" i="4"/>
  <c r="AD37" i="4"/>
  <c r="AC37" i="4"/>
  <c r="AM36" i="4"/>
  <c r="AD36" i="4"/>
  <c r="AC36" i="4"/>
  <c r="AM35" i="4"/>
  <c r="AD35" i="4"/>
  <c r="AC35" i="4"/>
  <c r="AM34" i="4"/>
  <c r="AD34" i="4"/>
  <c r="AC34" i="4"/>
  <c r="AM33" i="4"/>
  <c r="AD33" i="4"/>
  <c r="AC33" i="4"/>
  <c r="AM32" i="4"/>
  <c r="AD32" i="4"/>
  <c r="AC32" i="4"/>
  <c r="AM31" i="4"/>
  <c r="AD31" i="4"/>
  <c r="AC31" i="4"/>
  <c r="AM30" i="4"/>
  <c r="AD30" i="4"/>
  <c r="AC30" i="4"/>
  <c r="AM29" i="4"/>
  <c r="AD29" i="4"/>
  <c r="AC29" i="4"/>
  <c r="AM28" i="4"/>
  <c r="AD28" i="4"/>
  <c r="AC28" i="4"/>
  <c r="AM27" i="4"/>
  <c r="AD27" i="4"/>
  <c r="AC27" i="4"/>
  <c r="AM26" i="4"/>
  <c r="AD26" i="4"/>
  <c r="AC26" i="4"/>
  <c r="AM25" i="4"/>
  <c r="AD25" i="4"/>
  <c r="AC25" i="4"/>
  <c r="AM24" i="4"/>
  <c r="AD24" i="4"/>
  <c r="AC24" i="4"/>
  <c r="AM23" i="4"/>
  <c r="AD23" i="4"/>
  <c r="AC23" i="4"/>
  <c r="AM22" i="4"/>
  <c r="AD22" i="4"/>
  <c r="AC22" i="4"/>
  <c r="AM21" i="4"/>
  <c r="AD21" i="4"/>
  <c r="AC21" i="4"/>
  <c r="AM20" i="4"/>
  <c r="AD20" i="4"/>
  <c r="AC20" i="4"/>
  <c r="AM19" i="4"/>
  <c r="AD19" i="4"/>
  <c r="AC19" i="4"/>
  <c r="AM18" i="4"/>
  <c r="AD18" i="4"/>
  <c r="AC18" i="4"/>
  <c r="AM17" i="4"/>
  <c r="AD17" i="4"/>
  <c r="AC17" i="4"/>
  <c r="AM16" i="4"/>
  <c r="AD16" i="4"/>
  <c r="AC16" i="4"/>
  <c r="AM15" i="4"/>
  <c r="AD15" i="4"/>
  <c r="AC15" i="4"/>
  <c r="AM14" i="4"/>
  <c r="AD14" i="4"/>
  <c r="AC14" i="4"/>
  <c r="AM13" i="4"/>
  <c r="AD13" i="4"/>
  <c r="AC13" i="4"/>
  <c r="AM12" i="4"/>
  <c r="AD12" i="4"/>
  <c r="AC12" i="4"/>
  <c r="AM11" i="4"/>
  <c r="AD11" i="4"/>
  <c r="AC11" i="4"/>
  <c r="AM10" i="4"/>
  <c r="AD10" i="4"/>
  <c r="AC10" i="4"/>
  <c r="C10" i="4"/>
  <c r="C11" i="4" s="1"/>
  <c r="C12" i="4" s="1"/>
  <c r="Y24" i="4" l="1"/>
  <c r="AA24" i="4"/>
  <c r="I24" i="4"/>
  <c r="AF24" i="4" s="1"/>
  <c r="AA25" i="4"/>
  <c r="I25" i="4"/>
  <c r="Y25" i="4"/>
  <c r="I26" i="4"/>
  <c r="AF26" i="4" s="1"/>
  <c r="Y26" i="4"/>
  <c r="AA26" i="4"/>
  <c r="AA27" i="4"/>
  <c r="Y27" i="4"/>
  <c r="I27" i="4"/>
  <c r="AF27" i="4" s="1"/>
  <c r="AA28" i="4"/>
  <c r="I28" i="4"/>
  <c r="AF28" i="4" s="1"/>
  <c r="Y28" i="4"/>
  <c r="AA29" i="4"/>
  <c r="I29" i="4"/>
  <c r="AF29" i="4" s="1"/>
  <c r="Y29" i="4"/>
  <c r="Y30" i="4"/>
  <c r="I30" i="4"/>
  <c r="AF30" i="4" s="1"/>
  <c r="AA30" i="4"/>
  <c r="Y31" i="4"/>
  <c r="I31" i="4"/>
  <c r="AF31" i="4" s="1"/>
  <c r="AA31" i="4"/>
  <c r="AA32" i="4"/>
  <c r="Y32" i="4"/>
  <c r="I32" i="4"/>
  <c r="AF32" i="4" s="1"/>
  <c r="AA33" i="4"/>
  <c r="I33" i="4"/>
  <c r="AF33" i="4" s="1"/>
  <c r="Y33" i="4"/>
  <c r="I34" i="4"/>
  <c r="AF34" i="4" s="1"/>
  <c r="AA34" i="4"/>
  <c r="Y34" i="4"/>
  <c r="Y35" i="4"/>
  <c r="I35" i="4"/>
  <c r="AF35" i="4" s="1"/>
  <c r="AA35" i="4"/>
  <c r="Y36" i="4"/>
  <c r="I36" i="4"/>
  <c r="AF36" i="4" s="1"/>
  <c r="AA36" i="4"/>
  <c r="I37" i="4"/>
  <c r="AF37" i="4" s="1"/>
  <c r="AA37" i="4"/>
  <c r="Y37" i="4"/>
  <c r="AA38" i="4"/>
  <c r="I38" i="4"/>
  <c r="AF38" i="4" s="1"/>
  <c r="Y38" i="4"/>
  <c r="AA39" i="4"/>
  <c r="I39" i="4"/>
  <c r="AF39" i="4" s="1"/>
  <c r="Y39" i="4"/>
  <c r="Y40" i="4"/>
  <c r="AA40" i="4"/>
  <c r="I40" i="4"/>
  <c r="AF40" i="4" s="1"/>
  <c r="I11" i="4"/>
  <c r="AF11" i="4" s="1"/>
  <c r="AA11" i="4"/>
  <c r="Y11" i="4"/>
  <c r="I12" i="4"/>
  <c r="AF12" i="4" s="1"/>
  <c r="AA12" i="4"/>
  <c r="Y12" i="4"/>
  <c r="I13" i="4"/>
  <c r="AF13" i="4" s="1"/>
  <c r="AA13" i="4"/>
  <c r="Y13" i="4"/>
  <c r="I14" i="4"/>
  <c r="AF14" i="4" s="1"/>
  <c r="Y14" i="4"/>
  <c r="AA14" i="4"/>
  <c r="I15" i="4"/>
  <c r="AF15" i="4" s="1"/>
  <c r="Y15" i="4"/>
  <c r="AA15" i="4"/>
  <c r="I16" i="4"/>
  <c r="AF16" i="4" s="1"/>
  <c r="AA16" i="4"/>
  <c r="Y16" i="4"/>
  <c r="AA17" i="4"/>
  <c r="I17" i="4"/>
  <c r="AF17" i="4" s="1"/>
  <c r="Y17" i="4"/>
  <c r="I18" i="4"/>
  <c r="AF18" i="4" s="1"/>
  <c r="AA18" i="4"/>
  <c r="Y18" i="4"/>
  <c r="Y19" i="4"/>
  <c r="AA19" i="4"/>
  <c r="I19" i="4"/>
  <c r="AF19" i="4" s="1"/>
  <c r="I20" i="4"/>
  <c r="AF20" i="4" s="1"/>
  <c r="AA20" i="4"/>
  <c r="I21" i="4"/>
  <c r="AF21" i="4" s="1"/>
  <c r="AA21" i="4"/>
  <c r="Y21" i="4"/>
  <c r="AA22" i="4"/>
  <c r="I22" i="4"/>
  <c r="AF22" i="4" s="1"/>
  <c r="Y22" i="4"/>
  <c r="AA23" i="4"/>
  <c r="I23" i="4"/>
  <c r="AF23" i="4" s="1"/>
  <c r="Y23" i="4"/>
  <c r="I10" i="4"/>
  <c r="AF10" i="4" s="1"/>
  <c r="Y10" i="4"/>
  <c r="AE17" i="4"/>
  <c r="AE20" i="4"/>
  <c r="AE10" i="4"/>
  <c r="AE16" i="4"/>
  <c r="AE19" i="4"/>
  <c r="AE18" i="4"/>
  <c r="D10" i="4"/>
  <c r="AE12" i="4"/>
  <c r="AE15" i="4"/>
  <c r="AF25" i="4"/>
  <c r="AE11" i="4"/>
  <c r="AE13" i="4"/>
  <c r="C13" i="4"/>
  <c r="AA10" i="4"/>
  <c r="D12" i="4"/>
  <c r="D11" i="4"/>
  <c r="AE14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G16" i="4" l="1"/>
  <c r="Z16" i="4" s="1"/>
  <c r="AG40" i="4"/>
  <c r="V40" i="4" s="1"/>
  <c r="AG24" i="4"/>
  <c r="AJ24" i="4" s="1"/>
  <c r="AG20" i="4"/>
  <c r="AG21" i="4"/>
  <c r="Z21" i="4" s="1"/>
  <c r="AG19" i="4"/>
  <c r="AG26" i="4"/>
  <c r="Z26" i="4" s="1"/>
  <c r="AG32" i="4"/>
  <c r="Z32" i="4" s="1"/>
  <c r="AG36" i="4"/>
  <c r="Z36" i="4" s="1"/>
  <c r="AG35" i="4"/>
  <c r="Z35" i="4" s="1"/>
  <c r="AG10" i="4"/>
  <c r="AG33" i="4"/>
  <c r="Z33" i="4" s="1"/>
  <c r="AG25" i="4"/>
  <c r="Z25" i="4" s="1"/>
  <c r="AG27" i="4"/>
  <c r="Z27" i="4" s="1"/>
  <c r="AG28" i="4"/>
  <c r="Z28" i="4" s="1"/>
  <c r="AG39" i="4"/>
  <c r="Z39" i="4" s="1"/>
  <c r="AG31" i="4"/>
  <c r="AG23" i="4"/>
  <c r="Z23" i="4" s="1"/>
  <c r="AG38" i="4"/>
  <c r="Z38" i="4" s="1"/>
  <c r="AG34" i="4"/>
  <c r="Z34" i="4" s="1"/>
  <c r="AG22" i="4"/>
  <c r="AK22" i="4" s="1"/>
  <c r="X22" i="4" s="1"/>
  <c r="AG14" i="4"/>
  <c r="Z14" i="4" s="1"/>
  <c r="AG18" i="4"/>
  <c r="Z18" i="4" s="1"/>
  <c r="AG17" i="4"/>
  <c r="AG12" i="4"/>
  <c r="Z12" i="4" s="1"/>
  <c r="AG30" i="4"/>
  <c r="AG37" i="4"/>
  <c r="Z37" i="4" s="1"/>
  <c r="AG29" i="4"/>
  <c r="Z29" i="4" s="1"/>
  <c r="AG11" i="4"/>
  <c r="Z11" i="4" s="1"/>
  <c r="AG13" i="4"/>
  <c r="Z13" i="4" s="1"/>
  <c r="AG15" i="4"/>
  <c r="Z15" i="4" s="1"/>
  <c r="AK19" i="4"/>
  <c r="X19" i="4" s="1"/>
  <c r="AK31" i="4"/>
  <c r="X31" i="4" s="1"/>
  <c r="AA41" i="4"/>
  <c r="C14" i="4"/>
  <c r="D13" i="4"/>
  <c r="AH20" i="4" l="1"/>
  <c r="W20" i="4" s="1"/>
  <c r="AL20" i="4"/>
  <c r="Y20" i="4" s="1"/>
  <c r="Y41" i="4" s="1"/>
  <c r="AK24" i="4"/>
  <c r="X24" i="4" s="1"/>
  <c r="AK26" i="4"/>
  <c r="X26" i="4" s="1"/>
  <c r="AK32" i="4"/>
  <c r="X32" i="4" s="1"/>
  <c r="AK16" i="4"/>
  <c r="X16" i="4" s="1"/>
  <c r="AJ16" i="4"/>
  <c r="AH25" i="4"/>
  <c r="W25" i="4" s="1"/>
  <c r="V16" i="4"/>
  <c r="AH26" i="4"/>
  <c r="W26" i="4" s="1"/>
  <c r="AH16" i="4"/>
  <c r="W16" i="4" s="1"/>
  <c r="AH36" i="4"/>
  <c r="W36" i="4" s="1"/>
  <c r="AK40" i="4"/>
  <c r="X40" i="4" s="1"/>
  <c r="AK25" i="4"/>
  <c r="X25" i="4" s="1"/>
  <c r="AK21" i="4"/>
  <c r="X21" i="4" s="1"/>
  <c r="AH22" i="4"/>
  <c r="W22" i="4" s="1"/>
  <c r="Z22" i="4"/>
  <c r="V24" i="4"/>
  <c r="Z24" i="4"/>
  <c r="AJ40" i="4"/>
  <c r="Z40" i="4"/>
  <c r="AH40" i="4"/>
  <c r="W40" i="4" s="1"/>
  <c r="AJ20" i="4"/>
  <c r="AH27" i="4"/>
  <c r="W27" i="4" s="1"/>
  <c r="AK34" i="4"/>
  <c r="X34" i="4" s="1"/>
  <c r="AK20" i="4"/>
  <c r="X20" i="4" s="1"/>
  <c r="AH21" i="4"/>
  <c r="W21" i="4" s="1"/>
  <c r="AK36" i="4"/>
  <c r="X36" i="4" s="1"/>
  <c r="AK30" i="4"/>
  <c r="X30" i="4" s="1"/>
  <c r="Z30" i="4"/>
  <c r="AH31" i="4"/>
  <c r="W31" i="4" s="1"/>
  <c r="Z31" i="4"/>
  <c r="V20" i="4"/>
  <c r="Z20" i="4"/>
  <c r="AK27" i="4"/>
  <c r="X27" i="4" s="1"/>
  <c r="AH24" i="4"/>
  <c r="W24" i="4" s="1"/>
  <c r="AK35" i="4"/>
  <c r="X35" i="4" s="1"/>
  <c r="AK17" i="4"/>
  <c r="X17" i="4" s="1"/>
  <c r="Z17" i="4"/>
  <c r="AH19" i="4"/>
  <c r="W19" i="4" s="1"/>
  <c r="Z19" i="4"/>
  <c r="AJ10" i="4"/>
  <c r="Z10" i="4"/>
  <c r="AK10" i="4"/>
  <c r="X10" i="4" s="1"/>
  <c r="AH10" i="4"/>
  <c r="W10" i="4" s="1"/>
  <c r="V10" i="4"/>
  <c r="AJ13" i="4"/>
  <c r="V13" i="4"/>
  <c r="AJ37" i="4"/>
  <c r="V37" i="4"/>
  <c r="V22" i="4"/>
  <c r="AJ22" i="4"/>
  <c r="AJ31" i="4"/>
  <c r="V31" i="4"/>
  <c r="AJ26" i="4"/>
  <c r="V26" i="4"/>
  <c r="AJ15" i="4"/>
  <c r="V15" i="4"/>
  <c r="AJ29" i="4"/>
  <c r="V29" i="4"/>
  <c r="V12" i="4"/>
  <c r="AJ12" i="4"/>
  <c r="V14" i="4"/>
  <c r="AJ14" i="4"/>
  <c r="AJ23" i="4"/>
  <c r="V23" i="4"/>
  <c r="AK33" i="4"/>
  <c r="X33" i="4" s="1"/>
  <c r="AJ33" i="4"/>
  <c r="V33" i="4"/>
  <c r="AJ35" i="4"/>
  <c r="V35" i="4"/>
  <c r="V32" i="4"/>
  <c r="AJ32" i="4"/>
  <c r="AK23" i="4"/>
  <c r="X23" i="4" s="1"/>
  <c r="AJ17" i="4"/>
  <c r="V17" i="4"/>
  <c r="AJ34" i="4"/>
  <c r="V34" i="4"/>
  <c r="AJ39" i="4"/>
  <c r="V39" i="4"/>
  <c r="V27" i="4"/>
  <c r="AJ27" i="4"/>
  <c r="V19" i="4"/>
  <c r="AJ19" i="4"/>
  <c r="AH34" i="4"/>
  <c r="W34" i="4" s="1"/>
  <c r="AH35" i="4"/>
  <c r="W35" i="4" s="1"/>
  <c r="AH32" i="4"/>
  <c r="W32" i="4" s="1"/>
  <c r="V11" i="4"/>
  <c r="AJ11" i="4"/>
  <c r="V30" i="4"/>
  <c r="AJ30" i="4"/>
  <c r="AJ18" i="4"/>
  <c r="V18" i="4"/>
  <c r="AK38" i="4"/>
  <c r="X38" i="4" s="1"/>
  <c r="V38" i="4"/>
  <c r="AJ38" i="4"/>
  <c r="V28" i="4"/>
  <c r="AJ28" i="4"/>
  <c r="AJ25" i="4"/>
  <c r="V25" i="4"/>
  <c r="AJ36" i="4"/>
  <c r="V36" i="4"/>
  <c r="AJ21" i="4"/>
  <c r="V21" i="4"/>
  <c r="AI20" i="4"/>
  <c r="AH30" i="4"/>
  <c r="W30" i="4" s="1"/>
  <c r="AK28" i="4"/>
  <c r="X28" i="4" s="1"/>
  <c r="AH23" i="4"/>
  <c r="W23" i="4" s="1"/>
  <c r="AH33" i="4"/>
  <c r="W33" i="4" s="1"/>
  <c r="AH28" i="4"/>
  <c r="W28" i="4" s="1"/>
  <c r="AH17" i="4"/>
  <c r="W17" i="4" s="1"/>
  <c r="AH14" i="4"/>
  <c r="W14" i="4" s="1"/>
  <c r="AK11" i="4"/>
  <c r="X11" i="4" s="1"/>
  <c r="AK13" i="4"/>
  <c r="X13" i="4" s="1"/>
  <c r="AK12" i="4"/>
  <c r="X12" i="4" s="1"/>
  <c r="AH12" i="4"/>
  <c r="W12" i="4" s="1"/>
  <c r="AH29" i="4"/>
  <c r="W29" i="4" s="1"/>
  <c r="AH39" i="4"/>
  <c r="W39" i="4" s="1"/>
  <c r="AK18" i="4"/>
  <c r="X18" i="4" s="1"/>
  <c r="AK14" i="4"/>
  <c r="X14" i="4" s="1"/>
  <c r="AH37" i="4"/>
  <c r="W37" i="4" s="1"/>
  <c r="AK39" i="4"/>
  <c r="X39" i="4" s="1"/>
  <c r="AH38" i="4"/>
  <c r="W38" i="4" s="1"/>
  <c r="AH18" i="4"/>
  <c r="W18" i="4" s="1"/>
  <c r="AK37" i="4"/>
  <c r="X37" i="4" s="1"/>
  <c r="AH11" i="4"/>
  <c r="W11" i="4" s="1"/>
  <c r="AH13" i="4"/>
  <c r="W13" i="4" s="1"/>
  <c r="AK29" i="4"/>
  <c r="X29" i="4" s="1"/>
  <c r="AH15" i="4"/>
  <c r="W15" i="4" s="1"/>
  <c r="AK15" i="4"/>
  <c r="X15" i="4" s="1"/>
  <c r="C15" i="4"/>
  <c r="D14" i="4"/>
  <c r="AI40" i="4" l="1"/>
  <c r="AI22" i="4"/>
  <c r="AI25" i="4"/>
  <c r="AI21" i="4"/>
  <c r="AI16" i="4"/>
  <c r="AI26" i="4"/>
  <c r="AI36" i="4"/>
  <c r="AI35" i="4"/>
  <c r="AI24" i="4"/>
  <c r="AI31" i="4"/>
  <c r="AI19" i="4"/>
  <c r="AI27" i="4"/>
  <c r="AI32" i="4"/>
  <c r="AI34" i="4"/>
  <c r="AI10" i="4"/>
  <c r="AI14" i="4"/>
  <c r="AI18" i="4"/>
  <c r="AI30" i="4"/>
  <c r="AI12" i="4"/>
  <c r="AI28" i="4"/>
  <c r="AI13" i="4"/>
  <c r="AI38" i="4"/>
  <c r="AI33" i="4"/>
  <c r="AI11" i="4"/>
  <c r="AI39" i="4"/>
  <c r="AI23" i="4"/>
  <c r="AI15" i="4"/>
  <c r="AI37" i="4"/>
  <c r="AI29" i="4"/>
  <c r="AI17" i="4"/>
  <c r="Z41" i="4"/>
  <c r="U45" i="4" s="1"/>
  <c r="V41" i="4"/>
  <c r="M45" i="4" s="1"/>
  <c r="X41" i="4"/>
  <c r="C16" i="4"/>
  <c r="D15" i="4"/>
  <c r="W41" i="4" l="1"/>
  <c r="P45" i="4" s="1"/>
  <c r="C17" i="4"/>
  <c r="D16" i="4"/>
  <c r="N45" i="4" l="1"/>
  <c r="O45" i="4" s="1"/>
  <c r="C18" i="4"/>
  <c r="D17" i="4"/>
  <c r="C19" i="4" l="1"/>
  <c r="D18" i="4"/>
  <c r="C20" i="4" l="1"/>
  <c r="D19" i="4"/>
  <c r="D20" i="4" l="1"/>
  <c r="C21" i="4"/>
  <c r="D21" i="4" l="1"/>
  <c r="C22" i="4"/>
  <c r="D22" i="4" l="1"/>
  <c r="C23" i="4"/>
  <c r="D23" i="4" l="1"/>
  <c r="C24" i="4"/>
  <c r="D24" i="4" l="1"/>
  <c r="C25" i="4"/>
  <c r="D25" i="4" l="1"/>
  <c r="C26" i="4"/>
  <c r="D26" i="4" l="1"/>
  <c r="C27" i="4"/>
  <c r="D27" i="4" l="1"/>
  <c r="C28" i="4"/>
  <c r="D28" i="4" l="1"/>
  <c r="C29" i="4"/>
  <c r="D29" i="4" l="1"/>
  <c r="C30" i="4"/>
  <c r="D30" i="4" l="1"/>
  <c r="C31" i="4"/>
  <c r="D31" i="4" l="1"/>
  <c r="C32" i="4"/>
  <c r="D32" i="4" l="1"/>
  <c r="C33" i="4"/>
  <c r="D33" i="4" l="1"/>
  <c r="C34" i="4"/>
  <c r="D34" i="4" l="1"/>
  <c r="C35" i="4"/>
  <c r="D35" i="4" l="1"/>
  <c r="C36" i="4"/>
  <c r="D36" i="4" l="1"/>
  <c r="C37" i="4"/>
  <c r="D37" i="4" l="1"/>
  <c r="C38" i="4"/>
  <c r="D38" i="4" l="1"/>
  <c r="C39" i="4"/>
  <c r="D39" i="4" l="1"/>
  <c r="C40" i="4"/>
  <c r="D4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9" authorId="0" shapeId="0" xr:uid="{59F6425A-1CD0-4C5D-A9D0-1B734A2B5D09}">
      <text>
        <r>
          <rPr>
            <b/>
            <sz val="9"/>
            <color indexed="81"/>
            <rFont val="MS P ゴシック"/>
            <family val="3"/>
            <charset val="128"/>
          </rPr>
          <t>kawasaki:</t>
        </r>
        <r>
          <rPr>
            <sz val="9"/>
            <color indexed="81"/>
            <rFont val="MS P ゴシック"/>
            <family val="3"/>
            <charset val="128"/>
          </rPr>
          <t xml:space="preserve">
Meiryo UIフォントにする事で、表示倍率を変更しても改行されない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<sst xmlns="http://schemas.openxmlformats.org/spreadsheetml/2006/main" count="88" uniqueCount="82">
  <si>
    <t>休憩</t>
    <rPh sb="0" eb="2">
      <t xml:space="preserve">キュウケイ </t>
    </rPh>
    <phoneticPr fontId="1"/>
  </si>
  <si>
    <t>月度　勤 務 報 告 書</t>
    <rPh sb="0" eb="2">
      <t>ガツド</t>
    </rPh>
    <phoneticPr fontId="1"/>
  </si>
  <si>
    <t>社員番号</t>
    <rPh sb="0" eb="4">
      <t>シャインバンゴウ</t>
    </rPh>
    <phoneticPr fontId="1"/>
  </si>
  <si>
    <t>セクション</t>
    <phoneticPr fontId="1"/>
  </si>
  <si>
    <t>グループ</t>
    <phoneticPr fontId="1"/>
  </si>
  <si>
    <t>現場定時時間</t>
    <rPh sb="0" eb="4">
      <t xml:space="preserve">ゲンバテイジセッテイ </t>
    </rPh>
    <rPh sb="4" eb="6">
      <t xml:space="preserve">ジカン </t>
    </rPh>
    <phoneticPr fontId="1"/>
  </si>
  <si>
    <t>入力エリア</t>
    <rPh sb="0" eb="2">
      <t xml:space="preserve">ニュウリョクエリア </t>
    </rPh>
    <phoneticPr fontId="1"/>
  </si>
  <si>
    <t>算出エリア</t>
    <rPh sb="0" eb="2">
      <t xml:space="preserve">サンシュツエリア </t>
    </rPh>
    <phoneticPr fontId="1"/>
  </si>
  <si>
    <t>算出用印刷外エリア</t>
    <rPh sb="0" eb="2">
      <t xml:space="preserve">サンシュツヨウ </t>
    </rPh>
    <rPh sb="2" eb="3">
      <t xml:space="preserve">ヨウ </t>
    </rPh>
    <rPh sb="3" eb="5">
      <t xml:space="preserve">インサツ </t>
    </rPh>
    <rPh sb="5" eb="6">
      <t xml:space="preserve">ソト </t>
    </rPh>
    <phoneticPr fontId="1"/>
  </si>
  <si>
    <t/>
  </si>
  <si>
    <t>時間外手当</t>
    <rPh sb="0" eb="5">
      <t xml:space="preserve">ジカンガイテアテ </t>
    </rPh>
    <phoneticPr fontId="1"/>
  </si>
  <si>
    <t>控除</t>
    <rPh sb="0" eb="2">
      <t xml:space="preserve">コウジョ </t>
    </rPh>
    <phoneticPr fontId="1"/>
  </si>
  <si>
    <t>-</t>
    <phoneticPr fontId="1"/>
  </si>
  <si>
    <t>稼働日</t>
    <rPh sb="0" eb="3">
      <t xml:space="preserve">カドウビ </t>
    </rPh>
    <phoneticPr fontId="2"/>
  </si>
  <si>
    <t>曜日</t>
    <rPh sb="0" eb="2">
      <t xml:space="preserve">ヨウビ </t>
    </rPh>
    <phoneticPr fontId="2"/>
  </si>
  <si>
    <t>時</t>
    <rPh sb="0" eb="1">
      <t xml:space="preserve">ジカン </t>
    </rPh>
    <phoneticPr fontId="2"/>
  </si>
  <si>
    <t>分</t>
    <rPh sb="0" eb="1">
      <t xml:space="preserve">フン </t>
    </rPh>
    <phoneticPr fontId="2"/>
  </si>
  <si>
    <t>（分）
法定休憩</t>
    <rPh sb="0" eb="1">
      <t xml:space="preserve">ニンイキュウケイ </t>
    </rPh>
    <rPh sb="3" eb="4">
      <t xml:space="preserve">フン </t>
    </rPh>
    <rPh sb="4" eb="6">
      <t>👩‍⚖️</t>
    </rPh>
    <phoneticPr fontId="2"/>
  </si>
  <si>
    <t>（分）
任意休憩</t>
    <rPh sb="0" eb="1">
      <t xml:space="preserve">ニンイキュウケイ </t>
    </rPh>
    <rPh sb="3" eb="4">
      <t xml:space="preserve">フン </t>
    </rPh>
    <rPh sb="4" eb="6">
      <t xml:space="preserve">ニンイ </t>
    </rPh>
    <phoneticPr fontId="2"/>
  </si>
  <si>
    <t>（時分）
半休</t>
    <rPh sb="1" eb="2">
      <t xml:space="preserve">ジカン </t>
    </rPh>
    <rPh sb="2" eb="3">
      <t xml:space="preserve">フン </t>
    </rPh>
    <rPh sb="4" eb="6">
      <t xml:space="preserve">ハンキュウ </t>
    </rPh>
    <phoneticPr fontId="2"/>
  </si>
  <si>
    <t>（時分）
遅刻</t>
    <rPh sb="0" eb="2">
      <t xml:space="preserve">チコク </t>
    </rPh>
    <phoneticPr fontId="2"/>
  </si>
  <si>
    <t>（時分）
早退</t>
    <rPh sb="0" eb="2">
      <t xml:space="preserve">ソウタイ </t>
    </rPh>
    <phoneticPr fontId="2"/>
  </si>
  <si>
    <t>在宅</t>
    <rPh sb="0" eb="2">
      <t xml:space="preserve">ザイタク </t>
    </rPh>
    <phoneticPr fontId="2"/>
  </si>
  <si>
    <t>有給休暇</t>
    <rPh sb="0" eb="4">
      <t xml:space="preserve">ユウキュウキュウカ </t>
    </rPh>
    <phoneticPr fontId="2"/>
  </si>
  <si>
    <t>特別休暇</t>
    <rPh sb="0" eb="4">
      <t xml:space="preserve">トクベツキュウカ </t>
    </rPh>
    <phoneticPr fontId="2"/>
  </si>
  <si>
    <t>欠勤</t>
    <rPh sb="0" eb="2">
      <t xml:space="preserve">ケッキン </t>
    </rPh>
    <phoneticPr fontId="2"/>
  </si>
  <si>
    <t>振替出勤</t>
    <rPh sb="0" eb="4">
      <t xml:space="preserve">フリカエシュッキン </t>
    </rPh>
    <phoneticPr fontId="2"/>
  </si>
  <si>
    <t>振替休日</t>
    <rPh sb="0" eb="4">
      <t xml:space="preserve">フリカエキュウジツ </t>
    </rPh>
    <phoneticPr fontId="2"/>
  </si>
  <si>
    <t>休日出勤</t>
    <rPh sb="0" eb="4">
      <t xml:space="preserve">キュウジツシュッキン </t>
    </rPh>
    <phoneticPr fontId="2"/>
  </si>
  <si>
    <t>稼働時間</t>
    <rPh sb="0" eb="4">
      <t xml:space="preserve">カドウジカン </t>
    </rPh>
    <phoneticPr fontId="2"/>
  </si>
  <si>
    <t>普通残業</t>
    <phoneticPr fontId="2"/>
  </si>
  <si>
    <t>深夜残業</t>
    <phoneticPr fontId="2"/>
  </si>
  <si>
    <t>休日出勤</t>
    <phoneticPr fontId="2"/>
  </si>
  <si>
    <t>欠勤時間</t>
    <rPh sb="0" eb="4">
      <t xml:space="preserve">ケッキンジカン </t>
    </rPh>
    <phoneticPr fontId="2"/>
  </si>
  <si>
    <t>遅早時間</t>
    <phoneticPr fontId="2"/>
  </si>
  <si>
    <t>備　　考</t>
    <rPh sb="0" eb="4">
      <t xml:space="preserve">ビコウ </t>
    </rPh>
    <phoneticPr fontId="2"/>
  </si>
  <si>
    <t>開始時間</t>
    <rPh sb="0" eb="4">
      <t xml:space="preserve">カイシジカン </t>
    </rPh>
    <phoneticPr fontId="2"/>
  </si>
  <si>
    <t>終了時間</t>
    <rPh sb="0" eb="4">
      <t xml:space="preserve">シュウリョウジカン </t>
    </rPh>
    <phoneticPr fontId="2"/>
  </si>
  <si>
    <t>滞在時間</t>
    <rPh sb="0" eb="4">
      <t xml:space="preserve">タイザイジカン </t>
    </rPh>
    <phoneticPr fontId="2"/>
  </si>
  <si>
    <t>休憩時間合計</t>
    <rPh sb="0" eb="4">
      <t xml:space="preserve">キュウケイジカン </t>
    </rPh>
    <rPh sb="4" eb="6">
      <t xml:space="preserve">ゴウケイ </t>
    </rPh>
    <phoneticPr fontId="2"/>
  </si>
  <si>
    <t>実働時間</t>
    <rPh sb="0" eb="4">
      <t xml:space="preserve">ジツドウジカン </t>
    </rPh>
    <phoneticPr fontId="2"/>
  </si>
  <si>
    <t>残業時間合計</t>
    <rPh sb="0" eb="4">
      <t>ザンギョウジカン</t>
    </rPh>
    <rPh sb="4" eb="6">
      <t>ゴウケイ</t>
    </rPh>
    <phoneticPr fontId="1"/>
  </si>
  <si>
    <t>普通残業①</t>
    <rPh sb="0" eb="2">
      <t>フツウ</t>
    </rPh>
    <rPh sb="2" eb="4">
      <t>ザンギョウ</t>
    </rPh>
    <phoneticPr fontId="1"/>
  </si>
  <si>
    <t>普通残業②</t>
    <rPh sb="0" eb="2">
      <t>フツウ</t>
    </rPh>
    <rPh sb="2" eb="4">
      <t>ザンギョウ</t>
    </rPh>
    <phoneticPr fontId="1"/>
  </si>
  <si>
    <t>深夜残業時間</t>
    <rPh sb="0" eb="2">
      <t>シンヤ</t>
    </rPh>
    <rPh sb="2" eb="4">
      <t>ザンギョウ</t>
    </rPh>
    <rPh sb="4" eb="6">
      <t>ジカン</t>
    </rPh>
    <phoneticPr fontId="1"/>
  </si>
  <si>
    <t>休日出勤時間</t>
    <rPh sb="2" eb="4">
      <t>シュッキン</t>
    </rPh>
    <phoneticPr fontId="1"/>
  </si>
  <si>
    <t>入力
flg</t>
    <rPh sb="0" eb="2">
      <t>ニュウリョク</t>
    </rPh>
    <phoneticPr fontId="1"/>
  </si>
  <si>
    <t>祝日</t>
    <rPh sb="0" eb="2">
      <t>シュクジツ</t>
    </rPh>
    <phoneticPr fontId="1"/>
  </si>
  <si>
    <t>合計</t>
    <rPh sb="0" eb="2">
      <t xml:space="preserve">ゴウケイ </t>
    </rPh>
    <phoneticPr fontId="1"/>
  </si>
  <si>
    <t>事務使用欄</t>
    <phoneticPr fontId="1"/>
  </si>
  <si>
    <t>社員ｺｰﾄﾞ</t>
  </si>
  <si>
    <t>社  員</t>
  </si>
  <si>
    <t>出勤日数</t>
  </si>
  <si>
    <t>在宅日数</t>
  </si>
  <si>
    <t>休日出勤日数</t>
  </si>
  <si>
    <t>代休日数</t>
  </si>
  <si>
    <t>有給日数</t>
  </si>
  <si>
    <t>特別休暇日数</t>
  </si>
  <si>
    <t>欠勤日数</t>
  </si>
  <si>
    <t>就労時間</t>
    <phoneticPr fontId="1"/>
  </si>
  <si>
    <t>普通残業</t>
  </si>
  <si>
    <t>深夜残業</t>
  </si>
  <si>
    <t>休日勤務時間</t>
  </si>
  <si>
    <t>法定内残業</t>
  </si>
  <si>
    <t>法定休日勤務時間</t>
    <phoneticPr fontId="15"/>
  </si>
  <si>
    <t>早出時間</t>
  </si>
  <si>
    <t>遅早回数</t>
  </si>
  <si>
    <t>遅早時間</t>
  </si>
  <si>
    <t>*</t>
    <phoneticPr fontId="1"/>
  </si>
  <si>
    <t>所　属</t>
    <rPh sb="0" eb="3">
      <t xml:space="preserve">ショゾク </t>
    </rPh>
    <phoneticPr fontId="1"/>
  </si>
  <si>
    <t>出勤</t>
    <rPh sb="0" eb="2">
      <t xml:space="preserve">シュッキン </t>
    </rPh>
    <phoneticPr fontId="1"/>
  </si>
  <si>
    <t>退勤</t>
    <rPh sb="0" eb="2">
      <t xml:space="preserve">タイキン </t>
    </rPh>
    <phoneticPr fontId="2"/>
  </si>
  <si>
    <t>出社区分</t>
    <rPh sb="1" eb="3">
      <t xml:space="preserve">クブン </t>
    </rPh>
    <phoneticPr fontId="1"/>
  </si>
  <si>
    <t>出社</t>
    <rPh sb="0" eb="1">
      <t xml:space="preserve">シュッキン </t>
    </rPh>
    <rPh sb="1" eb="2">
      <t xml:space="preserve">カイシャ </t>
    </rPh>
    <phoneticPr fontId="2"/>
  </si>
  <si>
    <t>氏　名</t>
    <rPh sb="0" eb="1">
      <t>シ</t>
    </rPh>
    <rPh sb="2" eb="3">
      <t>ナ</t>
    </rPh>
    <phoneticPr fontId="1"/>
  </si>
  <si>
    <t>v.1-2</t>
    <phoneticPr fontId="1"/>
  </si>
  <si>
    <t>日</t>
    <rPh sb="0" eb="1">
      <t>ヒ</t>
    </rPh>
    <phoneticPr fontId="2"/>
  </si>
  <si>
    <t>遅刻・早退(備考に理由記載)</t>
    <rPh sb="0" eb="2">
      <t xml:space="preserve">チコク </t>
    </rPh>
    <rPh sb="3" eb="5">
      <t xml:space="preserve">ソウタイ </t>
    </rPh>
    <phoneticPr fontId="1"/>
  </si>
  <si>
    <t>変則勤務(備考に理由記載)</t>
    <rPh sb="0" eb="4">
      <t>ヘンソクキンム</t>
    </rPh>
    <rPh sb="5" eb="7">
      <t xml:space="preserve">ビコウニ </t>
    </rPh>
    <rPh sb="10" eb="12">
      <t xml:space="preserve">キサイ </t>
    </rPh>
    <phoneticPr fontId="1"/>
  </si>
  <si>
    <t>欠勤時間
判定用
現場定時
時間</t>
    <rPh sb="0" eb="2">
      <t>ケッキン</t>
    </rPh>
    <rPh sb="2" eb="4">
      <t>ジカン</t>
    </rPh>
    <rPh sb="5" eb="7">
      <t>ハンテイ</t>
    </rPh>
    <rPh sb="7" eb="8">
      <t>ヨウ</t>
    </rPh>
    <rPh sb="8" eb="10">
      <t>ゲンバ</t>
    </rPh>
    <rPh sb="10" eb="12">
      <t>テイジ</t>
    </rPh>
    <rPh sb="14" eb="16">
      <t>ジカン</t>
    </rPh>
    <phoneticPr fontId="1"/>
  </si>
  <si>
    <t>残業
判定用
ユーニス
定時時間</t>
    <rPh sb="0" eb="2">
      <t>ザンギョウ</t>
    </rPh>
    <rPh sb="3" eb="5">
      <t>ハンテイ</t>
    </rPh>
    <rPh sb="5" eb="6">
      <t xml:space="preserve">ヨウ </t>
    </rPh>
    <rPh sb="12" eb="14">
      <t>テイジ</t>
    </rPh>
    <rPh sb="14" eb="16">
      <t>ジカン</t>
    </rPh>
    <phoneticPr fontId="1"/>
  </si>
  <si>
    <t>※「社員番号」はネットde顧問の番号を入力。
※「現場定時時間」は定時出退勤の際の滞在時間から機械的に60分減算した時間を入力してください。
　現場定時が8時間未満の場合、途中休憩が45分など短い場合がありますがその場合でも同様です。
　現場定時時間は欠勤時間の判定にのみ使用するので、短くなる事のデメリットはありません。
※「法定休憩」は自動で60が入力されます。変更しないでください。（但し早退などで昼休憩なしの場合などは0を入力）</t>
    <rPh sb="13" eb="15">
      <t>コモン</t>
    </rPh>
    <rPh sb="16" eb="18">
      <t>バンゴウ</t>
    </rPh>
    <rPh sb="19" eb="21">
      <t>ニュウリョク</t>
    </rPh>
    <rPh sb="47" eb="50">
      <t>キカイテキ</t>
    </rPh>
    <rPh sb="53" eb="54">
      <t>フン</t>
    </rPh>
    <rPh sb="54" eb="56">
      <t>ゲンサン</t>
    </rPh>
    <rPh sb="58" eb="60">
      <t>ジカン</t>
    </rPh>
    <rPh sb="61" eb="63">
      <t>ニュウリョク</t>
    </rPh>
    <rPh sb="72" eb="76">
      <t>ゲンバテイジ</t>
    </rPh>
    <rPh sb="78" eb="82">
      <t>ジカンミマン</t>
    </rPh>
    <rPh sb="83" eb="85">
      <t>バアイ</t>
    </rPh>
    <rPh sb="86" eb="90">
      <t>トチュウキュウケイ</t>
    </rPh>
    <rPh sb="93" eb="94">
      <t>フン</t>
    </rPh>
    <rPh sb="96" eb="97">
      <t>ミジカ</t>
    </rPh>
    <rPh sb="98" eb="100">
      <t>バアイ</t>
    </rPh>
    <rPh sb="108" eb="110">
      <t>バアイ</t>
    </rPh>
    <rPh sb="112" eb="114">
      <t>ドウヨウ</t>
    </rPh>
    <rPh sb="119" eb="125">
      <t>ゲンバテイジジカン</t>
    </rPh>
    <rPh sb="126" eb="130">
      <t>ケッキンジカン</t>
    </rPh>
    <rPh sb="131" eb="133">
      <t>ハンテイ</t>
    </rPh>
    <rPh sb="136" eb="138">
      <t>シヨウ</t>
    </rPh>
    <rPh sb="143" eb="144">
      <t>ミジカ</t>
    </rPh>
    <rPh sb="147" eb="148">
      <t>コト</t>
    </rPh>
    <rPh sb="170" eb="172">
      <t>ジドウ</t>
    </rPh>
    <rPh sb="176" eb="178">
      <t>ニュウリョク</t>
    </rPh>
    <rPh sb="183" eb="185">
      <t>ヘンコウ</t>
    </rPh>
    <rPh sb="195" eb="196">
      <t>タダ</t>
    </rPh>
    <rPh sb="197" eb="199">
      <t>ソウタイ</t>
    </rPh>
    <rPh sb="202" eb="205">
      <t>ヒルキュウケイ</t>
    </rPh>
    <rPh sb="208" eb="210">
      <t>バアイ</t>
    </rPh>
    <rPh sb="215" eb="217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</si>
</sst>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d"/>
    <numFmt numFmtId="178" formatCode="[h]:mm"/>
  </numFmts>
  <fonts count="3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メイリオ"/>
      <family val="2"/>
      <charset val="128"/>
    </font>
    <font>
      <sz val="12"/>
      <color theme="1"/>
      <name val="メイリオ"/>
      <family val="3"/>
      <charset val="128"/>
    </font>
    <font>
      <sz val="14"/>
      <color theme="1"/>
      <name val="Arial"/>
      <family val="2"/>
    </font>
    <font>
      <sz val="11"/>
      <color theme="1"/>
      <name val="メイリオ"/>
      <family val="2"/>
      <charset val="128"/>
    </font>
    <font>
      <sz val="11"/>
      <color theme="1"/>
      <name val="メイリオ"/>
      <family val="3"/>
      <charset val="128"/>
    </font>
    <font>
      <sz val="12"/>
      <color theme="1"/>
      <name val="Arial"/>
      <family val="2"/>
    </font>
    <font>
      <sz val="11"/>
      <name val="メイリオ"/>
      <family val="2"/>
      <charset val="128"/>
    </font>
    <font>
      <sz val="20"/>
      <color theme="1"/>
      <name val="メイリオ"/>
      <family val="2"/>
      <charset val="128"/>
    </font>
    <font>
      <sz val="16"/>
      <color theme="1"/>
      <name val="游ゴシック"/>
      <family val="2"/>
      <charset val="128"/>
      <scheme val="minor"/>
    </font>
    <font>
      <sz val="11"/>
      <name val="Calibri"/>
      <family val="2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color theme="1"/>
      <name val="Arial"/>
      <family val="2"/>
    </font>
    <font>
      <sz val="18"/>
      <color theme="1"/>
      <name val="メイリオ"/>
      <family val="3"/>
      <charset val="128"/>
    </font>
    <font>
      <sz val="18"/>
      <color theme="1"/>
      <name val="メイリオ"/>
      <family val="2"/>
      <charset val="128"/>
    </font>
    <font>
      <sz val="18"/>
      <color theme="1"/>
      <name val="游ゴシック"/>
      <family val="2"/>
      <charset val="128"/>
      <scheme val="minor"/>
    </font>
    <font>
      <u/>
      <sz val="18"/>
      <color theme="1"/>
      <name val="メイリオ"/>
      <family val="2"/>
      <charset val="128"/>
    </font>
    <font>
      <sz val="8"/>
      <color theme="1"/>
      <name val="メイリオ"/>
      <family val="3"/>
      <charset val="128"/>
    </font>
    <font>
      <sz val="9"/>
      <color theme="1"/>
      <name val="ＭＳ Ｐ明朝"/>
      <family val="1"/>
      <charset val="128"/>
    </font>
    <font>
      <sz val="9"/>
      <color theme="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name val="ＭＳ Ｐ明朝"/>
      <family val="1"/>
      <charset val="128"/>
    </font>
    <font>
      <sz val="8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3" fillId="0" borderId="0" applyFill="0" applyBorder="0"/>
  </cellStyleXfs>
  <cellXfs count="112">
    <xf numFmtId="0" fontId="0" fillId="0" borderId="0" xfId="0">
      <alignment vertical="center"/>
    </xf>
    <xf numFmtId="0" fontId="2" fillId="0" borderId="0" xfId="1">
      <alignment vertical="center"/>
    </xf>
    <xf numFmtId="14" fontId="2" fillId="0" borderId="0" xfId="1" applyNumberFormat="1">
      <alignment vertical="center"/>
    </xf>
    <xf numFmtId="0" fontId="3" fillId="0" borderId="0" xfId="1" applyFont="1" applyAlignment="1">
      <alignment horizontal="center"/>
    </xf>
    <xf numFmtId="49" fontId="2" fillId="0" borderId="0" xfId="1" applyNumberFormat="1">
      <alignment vertical="center"/>
    </xf>
    <xf numFmtId="20" fontId="7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20" fontId="7" fillId="3" borderId="2" xfId="1" applyNumberFormat="1" applyFont="1" applyFill="1" applyBorder="1" applyAlignment="1">
      <alignment horizontal="centerContinuous" vertical="center"/>
    </xf>
    <xf numFmtId="0" fontId="7" fillId="3" borderId="3" xfId="1" applyFont="1" applyFill="1" applyBorder="1" applyAlignment="1">
      <alignment horizontal="centerContinuous" vertical="center"/>
    </xf>
    <xf numFmtId="0" fontId="7" fillId="3" borderId="4" xfId="1" applyFont="1" applyFill="1" applyBorder="1" applyAlignment="1">
      <alignment horizontal="centerContinuous" vertical="center"/>
    </xf>
    <xf numFmtId="0" fontId="7" fillId="4" borderId="2" xfId="1" applyFont="1" applyFill="1" applyBorder="1" applyAlignment="1">
      <alignment horizontal="centerContinuous" vertical="center"/>
    </xf>
    <xf numFmtId="0" fontId="7" fillId="4" borderId="3" xfId="1" applyFont="1" applyFill="1" applyBorder="1" applyAlignment="1">
      <alignment horizontal="centerContinuous" vertical="center"/>
    </xf>
    <xf numFmtId="0" fontId="7" fillId="4" borderId="4" xfId="1" applyFont="1" applyFill="1" applyBorder="1" applyAlignment="1">
      <alignment horizontal="centerContinuous" vertical="center"/>
    </xf>
    <xf numFmtId="0" fontId="7" fillId="0" borderId="2" xfId="1" applyFont="1" applyBorder="1" applyAlignment="1">
      <alignment horizontal="centerContinuous" vertical="center"/>
    </xf>
    <xf numFmtId="0" fontId="7" fillId="0" borderId="3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7" fillId="0" borderId="0" xfId="1" applyFont="1">
      <alignment vertical="center"/>
    </xf>
    <xf numFmtId="20" fontId="7" fillId="0" borderId="9" xfId="1" applyNumberFormat="1" applyFont="1" applyBorder="1" applyAlignment="1">
      <alignment horizontal="centerContinuous" vertical="center"/>
    </xf>
    <xf numFmtId="0" fontId="7" fillId="0" borderId="9" xfId="1" applyFont="1" applyBorder="1" applyAlignment="1">
      <alignment horizontal="centerContinuous" vertical="center"/>
    </xf>
    <xf numFmtId="0" fontId="8" fillId="5" borderId="1" xfId="1" applyFont="1" applyFill="1" applyBorder="1" applyAlignment="1">
      <alignment horizontal="center" vertical="distributed" textRotation="255" shrinkToFit="1"/>
    </xf>
    <xf numFmtId="0" fontId="8" fillId="3" borderId="1" xfId="1" applyFont="1" applyFill="1" applyBorder="1" applyAlignment="1">
      <alignment horizontal="center" vertical="distributed" textRotation="255" shrinkToFit="1"/>
    </xf>
    <xf numFmtId="0" fontId="8" fillId="6" borderId="0" xfId="1" applyFont="1" applyFill="1" applyAlignment="1">
      <alignment vertical="center" shrinkToFit="1"/>
    </xf>
    <xf numFmtId="0" fontId="8" fillId="0" borderId="0" xfId="1" applyFont="1" applyAlignment="1">
      <alignment vertical="center" wrapText="1" shrinkToFit="1"/>
    </xf>
    <xf numFmtId="0" fontId="9" fillId="0" borderId="1" xfId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right" vertical="center"/>
    </xf>
    <xf numFmtId="20" fontId="9" fillId="0" borderId="1" xfId="1" applyNumberFormat="1" applyFont="1" applyBorder="1" applyAlignment="1">
      <alignment horizontal="right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178" fontId="9" fillId="0" borderId="1" xfId="1" applyNumberFormat="1" applyFont="1" applyBorder="1" applyAlignment="1">
      <alignment horizontal="right" vertical="center"/>
    </xf>
    <xf numFmtId="0" fontId="11" fillId="0" borderId="2" xfId="1" applyFont="1" applyBorder="1" applyAlignment="1">
      <alignment horizontal="centerContinuous" vertical="center"/>
    </xf>
    <xf numFmtId="177" fontId="7" fillId="0" borderId="3" xfId="1" applyNumberFormat="1" applyFont="1" applyBorder="1" applyAlignment="1">
      <alignment horizontal="centerContinuous" vertical="center"/>
    </xf>
    <xf numFmtId="0" fontId="4" fillId="0" borderId="3" xfId="1" applyFont="1" applyBorder="1" applyAlignment="1">
      <alignment horizontal="centerContinuous" vertical="center"/>
    </xf>
    <xf numFmtId="0" fontId="4" fillId="0" borderId="4" xfId="1" applyFont="1" applyBorder="1" applyAlignment="1">
      <alignment horizontal="centerContinuous" vertical="center"/>
    </xf>
    <xf numFmtId="0" fontId="9" fillId="0" borderId="1" xfId="1" applyFont="1" applyBorder="1">
      <alignment vertical="center"/>
    </xf>
    <xf numFmtId="178" fontId="9" fillId="0" borderId="1" xfId="1" applyNumberFormat="1" applyFont="1" applyBorder="1">
      <alignment vertical="center"/>
    </xf>
    <xf numFmtId="178" fontId="2" fillId="0" borderId="0" xfId="1" applyNumberFormat="1" applyAlignment="1">
      <alignment horizontal="right" vertical="center"/>
    </xf>
    <xf numFmtId="178" fontId="2" fillId="0" borderId="0" xfId="1" applyNumberFormat="1">
      <alignment vertical="center"/>
    </xf>
    <xf numFmtId="0" fontId="12" fillId="0" borderId="0" xfId="1" applyFont="1" applyAlignment="1">
      <alignment horizontal="center"/>
    </xf>
    <xf numFmtId="0" fontId="14" fillId="0" borderId="0" xfId="2" applyFont="1" applyFill="1" applyBorder="1"/>
    <xf numFmtId="0" fontId="8" fillId="0" borderId="0" xfId="1" applyFont="1">
      <alignment vertical="center"/>
    </xf>
    <xf numFmtId="0" fontId="14" fillId="0" borderId="0" xfId="2" applyFont="1" applyBorder="1"/>
    <xf numFmtId="20" fontId="7" fillId="3" borderId="14" xfId="1" applyNumberFormat="1" applyFont="1" applyFill="1" applyBorder="1">
      <alignment vertical="center"/>
    </xf>
    <xf numFmtId="0" fontId="8" fillId="3" borderId="15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distributed" textRotation="255" shrinkToFit="1"/>
    </xf>
    <xf numFmtId="20" fontId="7" fillId="3" borderId="1" xfId="1" applyNumberFormat="1" applyFont="1" applyFill="1" applyBorder="1" applyAlignment="1">
      <alignment horizontal="centerContinuous" vertical="center"/>
    </xf>
    <xf numFmtId="0" fontId="18" fillId="0" borderId="1" xfId="1" applyFont="1" applyBorder="1" applyAlignment="1">
      <alignment vertical="center" shrinkToFit="1"/>
    </xf>
    <xf numFmtId="178" fontId="19" fillId="0" borderId="1" xfId="1" applyNumberFormat="1" applyFont="1" applyBorder="1" applyAlignment="1">
      <alignment horizontal="right" vertical="center"/>
    </xf>
    <xf numFmtId="0" fontId="16" fillId="0" borderId="1" xfId="1" applyFont="1" applyBorder="1" applyAlignment="1">
      <alignment horizontal="center" vertical="center"/>
    </xf>
    <xf numFmtId="0" fontId="20" fillId="0" borderId="0" xfId="1" applyFont="1">
      <alignment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0" fontId="19" fillId="0" borderId="1" xfId="1" applyFont="1" applyBorder="1">
      <alignment vertical="center"/>
    </xf>
    <xf numFmtId="20" fontId="19" fillId="0" borderId="1" xfId="1" applyNumberFormat="1" applyFont="1" applyBorder="1">
      <alignment vertical="center"/>
    </xf>
    <xf numFmtId="0" fontId="16" fillId="2" borderId="1" xfId="1" applyFont="1" applyFill="1" applyBorder="1" applyAlignment="1">
      <alignment horizontal="centerContinuous" vertical="center"/>
    </xf>
    <xf numFmtId="0" fontId="18" fillId="2" borderId="1" xfId="1" applyFont="1" applyFill="1" applyBorder="1" applyAlignment="1">
      <alignment horizontal="centerContinuous" vertical="center"/>
    </xf>
    <xf numFmtId="0" fontId="18" fillId="3" borderId="2" xfId="1" applyFont="1" applyFill="1" applyBorder="1" applyAlignment="1">
      <alignment horizontal="centerContinuous" vertical="center"/>
    </xf>
    <xf numFmtId="0" fontId="16" fillId="3" borderId="7" xfId="1" applyFont="1" applyFill="1" applyBorder="1" applyAlignment="1">
      <alignment horizontal="centerContinuous" vertical="center"/>
    </xf>
    <xf numFmtId="0" fontId="16" fillId="3" borderId="5" xfId="1" applyFont="1" applyFill="1" applyBorder="1" applyAlignment="1">
      <alignment horizontal="centerContinuous" vertical="center"/>
    </xf>
    <xf numFmtId="0" fontId="16" fillId="3" borderId="0" xfId="1" applyFont="1" applyFill="1" applyAlignment="1">
      <alignment horizontal="centerContinuous" vertical="center"/>
    </xf>
    <xf numFmtId="0" fontId="16" fillId="3" borderId="0" xfId="1" quotePrefix="1" applyFont="1" applyFill="1" applyAlignment="1">
      <alignment horizontal="centerContinuous" vertical="center"/>
    </xf>
    <xf numFmtId="0" fontId="16" fillId="3" borderId="6" xfId="1" applyFont="1" applyFill="1" applyBorder="1" applyAlignment="1">
      <alignment horizontal="centerContinuous" vertical="center"/>
    </xf>
    <xf numFmtId="0" fontId="16" fillId="3" borderId="2" xfId="1" quotePrefix="1" applyFont="1" applyFill="1" applyBorder="1" applyAlignment="1">
      <alignment horizontal="centerContinuous" vertical="center"/>
    </xf>
    <xf numFmtId="0" fontId="16" fillId="4" borderId="0" xfId="1" quotePrefix="1" applyFont="1" applyFill="1" applyAlignment="1">
      <alignment horizontal="centerContinuous" vertical="center"/>
    </xf>
    <xf numFmtId="0" fontId="16" fillId="4" borderId="11" xfId="1" applyFont="1" applyFill="1" applyBorder="1" applyAlignment="1">
      <alignment horizontal="centerContinuous" vertical="center"/>
    </xf>
    <xf numFmtId="0" fontId="16" fillId="4" borderId="0" xfId="1" applyFont="1" applyFill="1" applyAlignment="1">
      <alignment horizontal="centerContinuous" vertical="center"/>
    </xf>
    <xf numFmtId="0" fontId="16" fillId="4" borderId="12" xfId="1" applyFont="1" applyFill="1" applyBorder="1" applyAlignment="1">
      <alignment horizontal="centerContinuous" vertical="center"/>
    </xf>
    <xf numFmtId="0" fontId="17" fillId="4" borderId="1" xfId="1" applyFont="1" applyFill="1" applyBorder="1" applyAlignment="1">
      <alignment horizontal="center" vertical="center" textRotation="255" shrinkToFit="1"/>
    </xf>
    <xf numFmtId="0" fontId="17" fillId="3" borderId="1" xfId="1" applyFont="1" applyFill="1" applyBorder="1" applyAlignment="1">
      <alignment horizontal="center" vertical="center" textRotation="255" shrinkToFit="1"/>
    </xf>
    <xf numFmtId="0" fontId="5" fillId="0" borderId="1" xfId="1" applyFont="1" applyBorder="1" applyAlignment="1">
      <alignment horizontal="center" vertical="center"/>
    </xf>
    <xf numFmtId="0" fontId="26" fillId="3" borderId="1" xfId="1" applyFont="1" applyFill="1" applyBorder="1" applyAlignment="1">
      <alignment horizontal="center" vertical="distributed" textRotation="255" wrapText="1" shrinkToFit="1"/>
    </xf>
    <xf numFmtId="178" fontId="9" fillId="0" borderId="1" xfId="1" applyNumberFormat="1" applyFont="1" applyBorder="1" applyAlignment="1">
      <alignment horizontal="right" vertical="center" shrinkToFit="1"/>
    </xf>
    <xf numFmtId="0" fontId="24" fillId="3" borderId="5" xfId="1" applyFont="1" applyFill="1" applyBorder="1" applyAlignment="1">
      <alignment horizontal="centerContinuous" vertical="center"/>
    </xf>
    <xf numFmtId="0" fontId="7" fillId="8" borderId="2" xfId="1" applyFont="1" applyFill="1" applyBorder="1" applyAlignment="1">
      <alignment horizontal="centerContinuous" vertical="center"/>
    </xf>
    <xf numFmtId="0" fontId="7" fillId="8" borderId="3" xfId="1" applyFont="1" applyFill="1" applyBorder="1" applyAlignment="1">
      <alignment horizontal="centerContinuous" vertical="center"/>
    </xf>
    <xf numFmtId="0" fontId="7" fillId="8" borderId="4" xfId="1" applyFont="1" applyFill="1" applyBorder="1" applyAlignment="1">
      <alignment horizontal="centerContinuous" vertical="center"/>
    </xf>
    <xf numFmtId="0" fontId="17" fillId="8" borderId="1" xfId="1" applyFont="1" applyFill="1" applyBorder="1" applyAlignment="1">
      <alignment vertical="center" shrinkToFit="1"/>
    </xf>
    <xf numFmtId="0" fontId="17" fillId="8" borderId="1" xfId="1" applyFont="1" applyFill="1" applyBorder="1" applyAlignment="1">
      <alignment vertical="center" wrapText="1" shrinkToFit="1"/>
    </xf>
    <xf numFmtId="0" fontId="24" fillId="8" borderId="1" xfId="1" applyFont="1" applyFill="1" applyBorder="1" applyAlignment="1">
      <alignment vertical="center" wrapText="1" shrinkToFit="1"/>
    </xf>
    <xf numFmtId="0" fontId="29" fillId="0" borderId="1" xfId="2" applyFont="1" applyFill="1" applyBorder="1" applyAlignment="1">
      <alignment vertical="center"/>
    </xf>
    <xf numFmtId="0" fontId="29" fillId="0" borderId="1" xfId="2" applyFont="1" applyBorder="1" applyAlignment="1">
      <alignment vertical="center"/>
    </xf>
    <xf numFmtId="0" fontId="25" fillId="0" borderId="1" xfId="1" applyFont="1" applyBorder="1">
      <alignment vertical="center"/>
    </xf>
    <xf numFmtId="178" fontId="29" fillId="0" borderId="1" xfId="2" applyNumberFormat="1" applyFont="1" applyBorder="1" applyAlignment="1">
      <alignment vertical="center"/>
    </xf>
    <xf numFmtId="0" fontId="30" fillId="0" borderId="13" xfId="2" applyFont="1" applyBorder="1"/>
    <xf numFmtId="0" fontId="30" fillId="7" borderId="13" xfId="2" applyFont="1" applyFill="1" applyBorder="1"/>
    <xf numFmtId="0" fontId="30" fillId="8" borderId="13" xfId="2" applyFont="1" applyFill="1" applyBorder="1"/>
    <xf numFmtId="0" fontId="21" fillId="0" borderId="0" xfId="1" applyFont="1" applyAlignment="1">
      <alignment horizontal="center" vertical="center"/>
    </xf>
    <xf numFmtId="0" fontId="16" fillId="2" borderId="2" xfId="1" applyFont="1" applyFill="1" applyBorder="1" applyAlignment="1">
      <alignment horizontal="center" vertical="center" shrinkToFit="1"/>
    </xf>
    <xf numFmtId="0" fontId="16" fillId="2" borderId="4" xfId="1" applyFont="1" applyFill="1" applyBorder="1" applyAlignment="1">
      <alignment horizontal="center" vertical="center" shrinkToFit="1"/>
    </xf>
    <xf numFmtId="0" fontId="26" fillId="0" borderId="11" xfId="1" applyFont="1" applyBorder="1" applyAlignment="1">
      <alignment horizontal="left" vertical="center" wrapText="1"/>
    </xf>
    <xf numFmtId="0" fontId="26" fillId="0" borderId="0" xfId="1" applyFont="1" applyAlignment="1">
      <alignment horizontal="left" vertical="center" wrapText="1"/>
    </xf>
    <xf numFmtId="0" fontId="16" fillId="2" borderId="5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20" fontId="6" fillId="0" borderId="2" xfId="1" applyNumberFormat="1" applyFont="1" applyBorder="1" applyAlignment="1">
      <alignment horizontal="center" vertical="center"/>
    </xf>
    <xf numFmtId="20" fontId="6" fillId="0" borderId="4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</cellXfs>
  <cellStyles count="3">
    <cellStyle name="標準" xfId="0" builtinId="0"/>
    <cellStyle name="標準 2" xfId="1" xr:uid="{979D2D38-4329-1F49-A982-B46DDF9D8A91}"/>
    <cellStyle name="標準 3" xfId="2" xr:uid="{B168736D-0796-F74D-9585-5EE67BC1B44A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0123-B00B-5E4A-96BB-19294FCCFFD8}">
  <sheetPr>
    <pageSetUpPr fitToPage="1"/>
  </sheetPr>
  <dimension ref="B1:AS45"/>
  <sheetViews>
    <sheetView tabSelected="1" zoomScaleNormal="100" workbookViewId="0">
      <pane ySplit="9" topLeftCell="A22" activePane="bottomLeft" state="frozen"/>
      <selection pane="bottomLeft" activeCell="AG25" sqref="AG25"/>
    </sheetView>
  </sheetViews>
  <sheetFormatPr baseColWidth="10" defaultColWidth="7.5703125" defaultRowHeight="18"/>
  <cols>
    <col min="1" max="1" width="1.42578125" style="1" customWidth="1"/>
    <col min="2" max="8" width="3.28515625" style="1" customWidth="1"/>
    <col min="9" max="10" width="4.7109375" style="1" customWidth="1"/>
    <col min="11" max="13" width="5.7109375" style="1" customWidth="1"/>
    <col min="14" max="21" width="3.28515625" style="1" customWidth="1"/>
    <col min="22" max="27" width="5.7109375" style="1" customWidth="1"/>
    <col min="28" max="28" width="22.140625" style="1" customWidth="1"/>
    <col min="29" max="38" width="5.7109375" style="1" customWidth="1"/>
    <col min="39" max="39" width="4" style="1" bestFit="1" customWidth="1"/>
    <col min="40" max="41" width="5.7109375" style="1" customWidth="1"/>
    <col min="42" max="42" width="2.140625" style="1" customWidth="1"/>
    <col min="43" max="43" width="2.7109375" style="1" customWidth="1"/>
    <col min="44" max="44" width="9.28515625" style="1" customWidth="1"/>
    <col min="45" max="45" width="5.85546875" style="1" customWidth="1"/>
    <col min="46" max="138" width="2.140625" style="1" customWidth="1"/>
    <col min="139" max="16384" width="7.5703125" style="1"/>
  </cols>
  <sheetData>
    <row r="1" spans="2:45" ht="5" customHeight="1"/>
    <row r="2" spans="2:45" ht="28" customHeight="1">
      <c r="B2" s="90" t="s">
        <v>69</v>
      </c>
      <c r="C2" s="91"/>
      <c r="D2" s="111"/>
      <c r="E2" s="103"/>
      <c r="F2" s="103"/>
      <c r="G2" s="103"/>
      <c r="H2" s="104"/>
      <c r="I2" s="102"/>
      <c r="J2" s="103"/>
      <c r="K2" s="104"/>
      <c r="M2" s="101">
        <v>2025</v>
      </c>
      <c r="N2" s="101"/>
      <c r="O2" s="85">
        <v>12</v>
      </c>
      <c r="P2" s="85"/>
      <c r="Q2" s="48" t="s">
        <v>1</v>
      </c>
      <c r="R2" s="50"/>
      <c r="S2" s="49"/>
      <c r="T2" s="49"/>
      <c r="U2" s="49"/>
      <c r="V2" s="49"/>
      <c r="W2" s="49"/>
      <c r="X2" s="49"/>
      <c r="Y2" s="49"/>
      <c r="Z2" s="49"/>
      <c r="AA2" s="49"/>
      <c r="AB2" s="3" t="s">
        <v>75</v>
      </c>
    </row>
    <row r="3" spans="2:45" ht="28" customHeight="1">
      <c r="B3" s="92"/>
      <c r="C3" s="93"/>
      <c r="D3" s="105" t="s">
        <v>3</v>
      </c>
      <c r="E3" s="106"/>
      <c r="F3" s="107"/>
      <c r="G3" s="109"/>
      <c r="H3" s="110"/>
      <c r="I3" s="108" t="s">
        <v>4</v>
      </c>
      <c r="J3" s="106"/>
      <c r="K3" s="68"/>
      <c r="L3" s="88" t="s">
        <v>81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spans="2:45" ht="28" customHeight="1">
      <c r="B4" s="86" t="s">
        <v>2</v>
      </c>
      <c r="C4" s="87"/>
      <c r="D4" s="94"/>
      <c r="E4" s="95"/>
      <c r="F4" s="95"/>
      <c r="G4" s="54" t="s">
        <v>5</v>
      </c>
      <c r="H4" s="53"/>
      <c r="I4" s="54"/>
      <c r="J4" s="96">
        <v>0.33333333333333331</v>
      </c>
      <c r="K4" s="97"/>
      <c r="L4" s="88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N4" s="2"/>
    </row>
    <row r="5" spans="2:45" ht="28" customHeight="1">
      <c r="B5" s="53" t="s">
        <v>74</v>
      </c>
      <c r="C5" s="53"/>
      <c r="D5" s="98"/>
      <c r="E5" s="99"/>
      <c r="F5" s="99"/>
      <c r="G5" s="99"/>
      <c r="H5" s="99"/>
      <c r="I5" s="99"/>
      <c r="J5" s="99"/>
      <c r="K5" s="100"/>
      <c r="L5" s="88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D5" s="4"/>
      <c r="AN5" s="2"/>
    </row>
    <row r="6" spans="2:45" ht="5" customHeight="1"/>
    <row r="7" spans="2:45" s="16" customFormat="1" ht="20" customHeight="1">
      <c r="B7" s="5"/>
      <c r="C7" s="6"/>
      <c r="D7" s="6"/>
      <c r="E7" s="7" t="s">
        <v>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0" t="s">
        <v>7</v>
      </c>
      <c r="W7" s="11"/>
      <c r="X7" s="11"/>
      <c r="Y7" s="11"/>
      <c r="Z7" s="11"/>
      <c r="AA7" s="12"/>
      <c r="AB7" s="44" t="s">
        <v>6</v>
      </c>
      <c r="AC7" s="72" t="s">
        <v>8</v>
      </c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4"/>
    </row>
    <row r="8" spans="2:45" s="16" customFormat="1" ht="20" customHeight="1">
      <c r="B8" s="17"/>
      <c r="C8" s="18"/>
      <c r="D8" s="18"/>
      <c r="E8" s="55" t="s">
        <v>70</v>
      </c>
      <c r="F8" s="56"/>
      <c r="G8" s="57" t="s">
        <v>71</v>
      </c>
      <c r="H8" s="56"/>
      <c r="I8" s="58" t="s">
        <v>0</v>
      </c>
      <c r="J8" s="59"/>
      <c r="K8" s="71" t="s">
        <v>77</v>
      </c>
      <c r="L8" s="60"/>
      <c r="M8" s="60"/>
      <c r="N8" s="61" t="s">
        <v>72</v>
      </c>
      <c r="O8" s="60"/>
      <c r="P8" s="55" t="s">
        <v>78</v>
      </c>
      <c r="Q8" s="60"/>
      <c r="R8" s="60"/>
      <c r="S8" s="60"/>
      <c r="T8" s="60"/>
      <c r="U8" s="56"/>
      <c r="V8" s="62" t="s">
        <v>9</v>
      </c>
      <c r="W8" s="63" t="s">
        <v>10</v>
      </c>
      <c r="X8" s="64"/>
      <c r="Y8" s="65"/>
      <c r="Z8" s="63" t="s">
        <v>11</v>
      </c>
      <c r="AA8" s="65"/>
      <c r="AB8" s="41"/>
      <c r="AC8" s="13" t="s">
        <v>12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2:45" ht="62" customHeight="1">
      <c r="B9" s="19" t="s">
        <v>13</v>
      </c>
      <c r="C9" s="19" t="s">
        <v>76</v>
      </c>
      <c r="D9" s="19" t="s">
        <v>14</v>
      </c>
      <c r="E9" s="20" t="s">
        <v>15</v>
      </c>
      <c r="F9" s="20" t="s">
        <v>16</v>
      </c>
      <c r="G9" s="20" t="s">
        <v>15</v>
      </c>
      <c r="H9" s="20" t="s">
        <v>16</v>
      </c>
      <c r="I9" s="69" t="s">
        <v>17</v>
      </c>
      <c r="J9" s="69" t="s">
        <v>18</v>
      </c>
      <c r="K9" s="69" t="s">
        <v>19</v>
      </c>
      <c r="L9" s="69" t="s">
        <v>20</v>
      </c>
      <c r="M9" s="69" t="s">
        <v>21</v>
      </c>
      <c r="N9" s="43" t="s">
        <v>73</v>
      </c>
      <c r="O9" s="43" t="s">
        <v>22</v>
      </c>
      <c r="P9" s="67" t="s">
        <v>23</v>
      </c>
      <c r="Q9" s="67" t="s">
        <v>24</v>
      </c>
      <c r="R9" s="43" t="s">
        <v>25</v>
      </c>
      <c r="S9" s="67" t="s">
        <v>26</v>
      </c>
      <c r="T9" s="67" t="s">
        <v>27</v>
      </c>
      <c r="U9" s="67" t="s">
        <v>28</v>
      </c>
      <c r="V9" s="66" t="s">
        <v>29</v>
      </c>
      <c r="W9" s="66" t="s">
        <v>30</v>
      </c>
      <c r="X9" s="66" t="s">
        <v>31</v>
      </c>
      <c r="Y9" s="66" t="s">
        <v>32</v>
      </c>
      <c r="Z9" s="66" t="s">
        <v>33</v>
      </c>
      <c r="AA9" s="66" t="s">
        <v>34</v>
      </c>
      <c r="AB9" s="42" t="s">
        <v>35</v>
      </c>
      <c r="AC9" s="75" t="s">
        <v>36</v>
      </c>
      <c r="AD9" s="75" t="s">
        <v>37</v>
      </c>
      <c r="AE9" s="75" t="s">
        <v>38</v>
      </c>
      <c r="AF9" s="75" t="s">
        <v>39</v>
      </c>
      <c r="AG9" s="75" t="s">
        <v>40</v>
      </c>
      <c r="AH9" s="75" t="s">
        <v>41</v>
      </c>
      <c r="AI9" s="75" t="s">
        <v>42</v>
      </c>
      <c r="AJ9" s="75" t="s">
        <v>43</v>
      </c>
      <c r="AK9" s="75" t="s">
        <v>44</v>
      </c>
      <c r="AL9" s="75" t="s">
        <v>45</v>
      </c>
      <c r="AM9" s="76" t="s">
        <v>46</v>
      </c>
      <c r="AN9" s="77" t="s">
        <v>79</v>
      </c>
      <c r="AO9" s="77" t="s">
        <v>80</v>
      </c>
      <c r="AR9" s="21" t="s">
        <v>47</v>
      </c>
      <c r="AS9" s="22"/>
    </row>
    <row r="10" spans="2:45" ht="15" customHeight="1">
      <c r="B10" s="23">
        <f>IFERROR(IF(OR(COUNTIF($AR$10:$AR$40, C10)&gt;0, WEEKDAY(C10, 2)&gt;5), 0, 1), "")</f>
        <v>1</v>
      </c>
      <c r="C10" s="24">
        <f>DATE(M2, O2, 1)</f>
        <v>45992</v>
      </c>
      <c r="D10" s="47" t="str">
        <f>IF(C10&lt;&gt;"", CHOOSE(WEEKDAY(C10), "日", "月", "火", "水", "木", "金", "土"), "")</f>
        <v>月</v>
      </c>
      <c r="E10" s="25"/>
      <c r="F10" s="25"/>
      <c r="G10" s="25"/>
      <c r="H10" s="25"/>
      <c r="I10" s="25">
        <f t="shared" ref="I10:I40" si="0">IF(AND(R10="", AM10=1), 60, 0)</f>
        <v>0</v>
      </c>
      <c r="J10" s="25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8" t="str">
        <f>IF(OR(AG10=TIME(0, 0, 0),AM10=0), "", AG10)</f>
        <v/>
      </c>
      <c r="W10" s="28" t="str">
        <f>IF(OR(AM10=0, AH10=TIME(0, 0, 0),U10="○"), "",AH10)</f>
        <v/>
      </c>
      <c r="X10" s="28" t="str">
        <f>IF(OR(AM10=0, AK10=TIME(0, 0, 0)), "",AK10)</f>
        <v/>
      </c>
      <c r="Y10" s="28" t="str">
        <f>IF(OR(AM10=0, AL10=TIME(0, 0, 0)), "",AL10)</f>
        <v/>
      </c>
      <c r="Z10" s="28" t="str">
        <f>IF(AM10=0,"",IF(U10="○","",IF(R10="○",AO10,IF(AN10&lt;=AG10,"",AN10-AG10))))</f>
        <v/>
      </c>
      <c r="AA10" s="28" t="str">
        <f t="shared" ref="AA10" si="1">IF(OR(AM10=0, AND(L10="", M10="")), "", L10+M10)</f>
        <v/>
      </c>
      <c r="AB10" s="45"/>
      <c r="AC10" s="46">
        <f t="shared" ref="AC10:AC40" si="2">E10/24 + F10/1440</f>
        <v>0</v>
      </c>
      <c r="AD10" s="46">
        <f t="shared" ref="AD10:AD40" si="3">G10/24 + H10/1440</f>
        <v>0</v>
      </c>
      <c r="AE10" s="46">
        <f>IF(AD10&lt;AC10,AD10+1,AD10)-AC10</f>
        <v>0</v>
      </c>
      <c r="AF10" s="46">
        <f t="shared" ref="AF10:AF40" si="4">TIME(0,I10+J10,0)</f>
        <v>0</v>
      </c>
      <c r="AG10" s="46">
        <f t="shared" ref="AG10:AG40" si="5">IF(AE10 - AF10 &lt; TIME(0, 0, 0), TIME(0, 0, 0), AE10 - AF10)</f>
        <v>0</v>
      </c>
      <c r="AH10" s="46">
        <f t="shared" ref="AH10:AH40" si="6">IF(AO10 &lt; AG10, AG10  - AO10, TIME(0,0,0))</f>
        <v>0</v>
      </c>
      <c r="AI10" s="46">
        <f>IF(U10="○","0:00",IF(AH10&gt;TIME(4,0,0),TIME(4,0,0),AH10))</f>
        <v>0</v>
      </c>
      <c r="AJ10" s="46">
        <f>IF(S10="○", TIME(0,0,0), IF(AG10&gt;TIME(19,0,0), AG10-TIME(19,0,0), TIME(0,0,0)))</f>
        <v>0</v>
      </c>
      <c r="AK10" s="46">
        <f t="shared" ref="AK10:AK40" si="7">IF(AG10&gt;TIME(12,0,0), MIN(AG10-TIME(12,0,0), TIME(7,0,0)), TIME(0,0,0))</f>
        <v>0</v>
      </c>
      <c r="AL10" s="46">
        <f>IF(U10="○", AG10,TIME(0,0,0))</f>
        <v>0</v>
      </c>
      <c r="AM10" s="51">
        <f t="shared" ref="AM10:AM40" si="8">IF(AND(E10&lt;&gt;"", F10&lt;&gt;"", G10&lt;&gt;"", H10&lt;&gt;""), 1, IF(R10="○", 1, 0))</f>
        <v>0</v>
      </c>
      <c r="AN10" s="52">
        <f xml:space="preserve"> $J$4-SUM(IF(K10&lt;&gt;"",TEXT("4:00","h:mm"),K10),L10,M10)</f>
        <v>0.33333333333333331</v>
      </c>
      <c r="AO10" s="52">
        <f>TIME(8,0,0)-SUM(IF(K10&lt;&gt;"",TEXT("4:00","h:mm"),K10),L10,M10)</f>
        <v>0.33333333333333331</v>
      </c>
      <c r="AQ10" s="1">
        <v>1</v>
      </c>
    </row>
    <row r="11" spans="2:45" ht="15" customHeight="1">
      <c r="B11" s="23">
        <f t="shared" ref="B11:B40" si="9">IFERROR(IF(OR(COUNTIF($AR$10:$AR$40, C11)&gt;0, WEEKDAY(C11, 2)&gt;5), 0, 1), "")</f>
        <v>1</v>
      </c>
      <c r="C11" s="24">
        <f>IFERROR(IF(AND(ISNUMBER(C10), MONTH(C10+1) = MONTH($C$10), C10+1 &lt;= EOMONTH($C$10, 0)), C10+1, ""), "")</f>
        <v>45993</v>
      </c>
      <c r="D11" s="47" t="str">
        <f t="shared" ref="D11:D40" si="10">IF(C11&lt;&gt;"", CHOOSE(WEEKDAY(C11), "日", "月", "火", "水", "木", "金", "土"), "")</f>
        <v>火</v>
      </c>
      <c r="E11" s="25"/>
      <c r="F11" s="25"/>
      <c r="G11" s="25"/>
      <c r="H11" s="25"/>
      <c r="I11" s="25">
        <f t="shared" si="0"/>
        <v>0</v>
      </c>
      <c r="J11" s="25"/>
      <c r="K11" s="26"/>
      <c r="L11" s="26"/>
      <c r="M11" s="26"/>
      <c r="N11" s="27"/>
      <c r="O11" s="27"/>
      <c r="P11" s="27"/>
      <c r="Q11" s="27"/>
      <c r="R11" s="27"/>
      <c r="S11" s="27"/>
      <c r="T11" s="27"/>
      <c r="U11" s="27"/>
      <c r="V11" s="28" t="str">
        <f t="shared" ref="V11:V40" si="11">IF(OR(AG11=TIME(0, 0, 0),AM11=0), "", AG11)</f>
        <v/>
      </c>
      <c r="W11" s="28" t="str">
        <f t="shared" ref="W11:W40" si="12">IF(OR(AM11=0, AH11=TIME(0, 0, 0),U11="○"), "",AH11)</f>
        <v/>
      </c>
      <c r="X11" s="28" t="str">
        <f t="shared" ref="X11:X40" si="13">IF(OR(AM11=0, AK11=TIME(0, 0, 0)), "",AK11)</f>
        <v/>
      </c>
      <c r="Y11" s="28" t="str">
        <f t="shared" ref="Y11:Y40" si="14">IF(OR(AM11=0, AL11=TIME(0, 0, 0)), "",AL11)</f>
        <v/>
      </c>
      <c r="Z11" s="28" t="str">
        <f t="shared" ref="Z11:Z40" si="15">IF(AM11=0,"",IF(U11="○","",IF(R11="○",AO11,IF(AN11&lt;=AG11,"",AN11-AG11))))</f>
        <v/>
      </c>
      <c r="AA11" s="28" t="str">
        <f t="shared" ref="AA11:AA40" si="16">IF(OR(AM11=0, AND(L11="", M11="")), "", L11+M11)</f>
        <v/>
      </c>
      <c r="AB11" s="45"/>
      <c r="AC11" s="46">
        <f t="shared" si="2"/>
        <v>0</v>
      </c>
      <c r="AD11" s="46">
        <f t="shared" si="3"/>
        <v>0</v>
      </c>
      <c r="AE11" s="46">
        <f t="shared" ref="AE11:AE40" si="17">IF(AD11&lt;AC11,AD11+1,AD11)-AC11</f>
        <v>0</v>
      </c>
      <c r="AF11" s="46">
        <f t="shared" si="4"/>
        <v>0</v>
      </c>
      <c r="AG11" s="46">
        <f t="shared" si="5"/>
        <v>0</v>
      </c>
      <c r="AH11" s="46">
        <f t="shared" si="6"/>
        <v>0</v>
      </c>
      <c r="AI11" s="46">
        <f t="shared" ref="AI11:AI40" si="18">IF(U11="○","0:00",IF(AH11&gt;TIME(4,0,0),TIME(4,0,0),AH11))</f>
        <v>0</v>
      </c>
      <c r="AJ11" s="46">
        <f t="shared" ref="AJ11:AJ40" si="19">IF(S11="○", TIME(0,0,0), IF(AG11&gt;TIME(19,0,0), AG11-TIME(19,0,0), TIME(0,0,0)))</f>
        <v>0</v>
      </c>
      <c r="AK11" s="46">
        <f t="shared" si="7"/>
        <v>0</v>
      </c>
      <c r="AL11" s="46">
        <f t="shared" ref="AL11:AL40" si="20">IF(U11="○", AG11,TIME(0,0,0))</f>
        <v>0</v>
      </c>
      <c r="AM11" s="51">
        <f t="shared" si="8"/>
        <v>0</v>
      </c>
      <c r="AN11" s="52">
        <f t="shared" ref="AN11:AN40" si="21" xml:space="preserve"> $J$4-SUM(IF(K11&lt;&gt;"",TEXT("4:00","h:mm"),K11),L11,M11)</f>
        <v>0.33333333333333331</v>
      </c>
      <c r="AO11" s="52">
        <f t="shared" ref="AO11:AO40" si="22">TIME(8,0,0)-SUM(IF(K11&lt;&gt;"",TEXT("4:00","h:mm"),K11),L11,M11)</f>
        <v>0.33333333333333331</v>
      </c>
      <c r="AQ11" s="1">
        <v>2</v>
      </c>
    </row>
    <row r="12" spans="2:45" ht="15" customHeight="1">
      <c r="B12" s="23">
        <f t="shared" si="9"/>
        <v>1</v>
      </c>
      <c r="C12" s="24">
        <f t="shared" ref="C12:C39" si="23">IFERROR(IF(AND(ISNUMBER(C11), MONTH(C11+1) = MONTH($C$10), C11+1 &lt;= EOMONTH($C$10, 0)), C11+1, ""), "")</f>
        <v>45994</v>
      </c>
      <c r="D12" s="47" t="str">
        <f t="shared" si="10"/>
        <v>水</v>
      </c>
      <c r="E12" s="25"/>
      <c r="F12" s="25"/>
      <c r="G12" s="25"/>
      <c r="H12" s="25"/>
      <c r="I12" s="25">
        <f t="shared" si="0"/>
        <v>0</v>
      </c>
      <c r="J12" s="25"/>
      <c r="K12" s="26"/>
      <c r="L12" s="26"/>
      <c r="M12" s="26"/>
      <c r="N12" s="27"/>
      <c r="O12" s="27"/>
      <c r="P12" s="27"/>
      <c r="Q12" s="27"/>
      <c r="R12" s="27"/>
      <c r="S12" s="27"/>
      <c r="T12" s="27"/>
      <c r="U12" s="27"/>
      <c r="V12" s="28" t="str">
        <f t="shared" si="11"/>
        <v/>
      </c>
      <c r="W12" s="28" t="str">
        <f t="shared" si="12"/>
        <v/>
      </c>
      <c r="X12" s="28" t="str">
        <f t="shared" si="13"/>
        <v/>
      </c>
      <c r="Y12" s="28" t="str">
        <f t="shared" si="14"/>
        <v/>
      </c>
      <c r="Z12" s="28" t="str">
        <f t="shared" si="15"/>
        <v/>
      </c>
      <c r="AA12" s="28" t="str">
        <f t="shared" si="16"/>
        <v/>
      </c>
      <c r="AB12" s="45"/>
      <c r="AC12" s="46">
        <f t="shared" si="2"/>
        <v>0</v>
      </c>
      <c r="AD12" s="46">
        <f t="shared" si="3"/>
        <v>0</v>
      </c>
      <c r="AE12" s="46">
        <f t="shared" si="17"/>
        <v>0</v>
      </c>
      <c r="AF12" s="46">
        <f t="shared" si="4"/>
        <v>0</v>
      </c>
      <c r="AG12" s="46">
        <f t="shared" si="5"/>
        <v>0</v>
      </c>
      <c r="AH12" s="46">
        <f t="shared" si="6"/>
        <v>0</v>
      </c>
      <c r="AI12" s="46">
        <f t="shared" si="18"/>
        <v>0</v>
      </c>
      <c r="AJ12" s="46">
        <f t="shared" si="19"/>
        <v>0</v>
      </c>
      <c r="AK12" s="46">
        <f t="shared" si="7"/>
        <v>0</v>
      </c>
      <c r="AL12" s="46">
        <f t="shared" si="20"/>
        <v>0</v>
      </c>
      <c r="AM12" s="51">
        <f t="shared" si="8"/>
        <v>0</v>
      </c>
      <c r="AN12" s="52">
        <f t="shared" si="21"/>
        <v>0.33333333333333331</v>
      </c>
      <c r="AO12" s="52">
        <f t="shared" si="22"/>
        <v>0.33333333333333331</v>
      </c>
      <c r="AQ12" s="1">
        <v>3</v>
      </c>
    </row>
    <row r="13" spans="2:45" ht="15" customHeight="1">
      <c r="B13" s="23">
        <f t="shared" si="9"/>
        <v>1</v>
      </c>
      <c r="C13" s="24">
        <f t="shared" si="23"/>
        <v>45995</v>
      </c>
      <c r="D13" s="47" t="str">
        <f t="shared" si="10"/>
        <v>木</v>
      </c>
      <c r="E13" s="25"/>
      <c r="F13" s="25"/>
      <c r="G13" s="25"/>
      <c r="H13" s="25"/>
      <c r="I13" s="25">
        <f t="shared" si="0"/>
        <v>0</v>
      </c>
      <c r="J13" s="25"/>
      <c r="K13" s="26"/>
      <c r="L13" s="26"/>
      <c r="M13" s="26"/>
      <c r="N13" s="27"/>
      <c r="O13" s="27"/>
      <c r="P13" s="27"/>
      <c r="Q13" s="27"/>
      <c r="R13" s="27"/>
      <c r="S13" s="27"/>
      <c r="T13" s="27"/>
      <c r="U13" s="27"/>
      <c r="V13" s="28" t="str">
        <f t="shared" si="11"/>
        <v/>
      </c>
      <c r="W13" s="28" t="str">
        <f t="shared" si="12"/>
        <v/>
      </c>
      <c r="X13" s="28" t="str">
        <f t="shared" si="13"/>
        <v/>
      </c>
      <c r="Y13" s="28" t="str">
        <f t="shared" si="14"/>
        <v/>
      </c>
      <c r="Z13" s="28" t="str">
        <f t="shared" si="15"/>
        <v/>
      </c>
      <c r="AA13" s="28" t="str">
        <f t="shared" si="16"/>
        <v/>
      </c>
      <c r="AB13" s="45"/>
      <c r="AC13" s="46">
        <f t="shared" si="2"/>
        <v>0</v>
      </c>
      <c r="AD13" s="46">
        <f t="shared" si="3"/>
        <v>0</v>
      </c>
      <c r="AE13" s="46">
        <f t="shared" si="17"/>
        <v>0</v>
      </c>
      <c r="AF13" s="46">
        <f t="shared" si="4"/>
        <v>0</v>
      </c>
      <c r="AG13" s="46">
        <f t="shared" si="5"/>
        <v>0</v>
      </c>
      <c r="AH13" s="46">
        <f t="shared" si="6"/>
        <v>0</v>
      </c>
      <c r="AI13" s="46">
        <f t="shared" si="18"/>
        <v>0</v>
      </c>
      <c r="AJ13" s="46">
        <f t="shared" si="19"/>
        <v>0</v>
      </c>
      <c r="AK13" s="46">
        <f t="shared" si="7"/>
        <v>0</v>
      </c>
      <c r="AL13" s="46">
        <f t="shared" si="20"/>
        <v>0</v>
      </c>
      <c r="AM13" s="51">
        <f t="shared" si="8"/>
        <v>0</v>
      </c>
      <c r="AN13" s="52">
        <f t="shared" si="21"/>
        <v>0.33333333333333331</v>
      </c>
      <c r="AO13" s="52">
        <f t="shared" si="22"/>
        <v>0.33333333333333331</v>
      </c>
      <c r="AQ13" s="1">
        <v>4</v>
      </c>
    </row>
    <row r="14" spans="2:45" ht="15" customHeight="1">
      <c r="B14" s="23">
        <f t="shared" si="9"/>
        <v>1</v>
      </c>
      <c r="C14" s="24">
        <f t="shared" si="23"/>
        <v>45996</v>
      </c>
      <c r="D14" s="47" t="str">
        <f t="shared" si="10"/>
        <v>金</v>
      </c>
      <c r="E14" s="25"/>
      <c r="F14" s="25"/>
      <c r="G14" s="25"/>
      <c r="H14" s="25"/>
      <c r="I14" s="25">
        <f t="shared" si="0"/>
        <v>0</v>
      </c>
      <c r="J14" s="25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7"/>
      <c r="V14" s="28" t="str">
        <f t="shared" si="11"/>
        <v/>
      </c>
      <c r="W14" s="28" t="str">
        <f t="shared" si="12"/>
        <v/>
      </c>
      <c r="X14" s="28" t="str">
        <f t="shared" si="13"/>
        <v/>
      </c>
      <c r="Y14" s="28" t="str">
        <f t="shared" si="14"/>
        <v/>
      </c>
      <c r="Z14" s="28" t="str">
        <f t="shared" si="15"/>
        <v/>
      </c>
      <c r="AA14" s="28" t="str">
        <f t="shared" si="16"/>
        <v/>
      </c>
      <c r="AB14" s="45"/>
      <c r="AC14" s="46">
        <f t="shared" si="2"/>
        <v>0</v>
      </c>
      <c r="AD14" s="46">
        <f t="shared" si="3"/>
        <v>0</v>
      </c>
      <c r="AE14" s="46">
        <f t="shared" si="17"/>
        <v>0</v>
      </c>
      <c r="AF14" s="46">
        <f t="shared" si="4"/>
        <v>0</v>
      </c>
      <c r="AG14" s="46">
        <f t="shared" si="5"/>
        <v>0</v>
      </c>
      <c r="AH14" s="46">
        <f t="shared" si="6"/>
        <v>0</v>
      </c>
      <c r="AI14" s="46">
        <f t="shared" si="18"/>
        <v>0</v>
      </c>
      <c r="AJ14" s="46">
        <f t="shared" si="19"/>
        <v>0</v>
      </c>
      <c r="AK14" s="46">
        <f t="shared" si="7"/>
        <v>0</v>
      </c>
      <c r="AL14" s="46">
        <f t="shared" si="20"/>
        <v>0</v>
      </c>
      <c r="AM14" s="51">
        <f t="shared" si="8"/>
        <v>0</v>
      </c>
      <c r="AN14" s="52">
        <f t="shared" si="21"/>
        <v>0.33333333333333331</v>
      </c>
      <c r="AO14" s="52">
        <f t="shared" si="22"/>
        <v>0.33333333333333331</v>
      </c>
      <c r="AQ14" s="1">
        <v>5</v>
      </c>
    </row>
    <row r="15" spans="2:45" ht="15" customHeight="1">
      <c r="B15" s="23">
        <f t="shared" si="9"/>
        <v>0</v>
      </c>
      <c r="C15" s="24">
        <f t="shared" si="23"/>
        <v>45997</v>
      </c>
      <c r="D15" s="47" t="str">
        <f t="shared" si="10"/>
        <v>土</v>
      </c>
      <c r="E15" s="25"/>
      <c r="F15" s="25"/>
      <c r="G15" s="25"/>
      <c r="H15" s="25"/>
      <c r="I15" s="25">
        <f t="shared" si="0"/>
        <v>0</v>
      </c>
      <c r="J15" s="25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7"/>
      <c r="V15" s="28" t="str">
        <f t="shared" si="11"/>
        <v/>
      </c>
      <c r="W15" s="28" t="str">
        <f t="shared" si="12"/>
        <v/>
      </c>
      <c r="X15" s="28" t="str">
        <f t="shared" si="13"/>
        <v/>
      </c>
      <c r="Y15" s="28" t="str">
        <f t="shared" si="14"/>
        <v/>
      </c>
      <c r="Z15" s="28" t="str">
        <f t="shared" si="15"/>
        <v/>
      </c>
      <c r="AA15" s="28" t="str">
        <f t="shared" si="16"/>
        <v/>
      </c>
      <c r="AB15" s="45"/>
      <c r="AC15" s="46">
        <f t="shared" si="2"/>
        <v>0</v>
      </c>
      <c r="AD15" s="46">
        <f t="shared" si="3"/>
        <v>0</v>
      </c>
      <c r="AE15" s="46">
        <f t="shared" si="17"/>
        <v>0</v>
      </c>
      <c r="AF15" s="46">
        <f t="shared" si="4"/>
        <v>0</v>
      </c>
      <c r="AG15" s="46">
        <f t="shared" si="5"/>
        <v>0</v>
      </c>
      <c r="AH15" s="46">
        <f t="shared" si="6"/>
        <v>0</v>
      </c>
      <c r="AI15" s="46">
        <f t="shared" si="18"/>
        <v>0</v>
      </c>
      <c r="AJ15" s="46">
        <f t="shared" si="19"/>
        <v>0</v>
      </c>
      <c r="AK15" s="46">
        <f t="shared" si="7"/>
        <v>0</v>
      </c>
      <c r="AL15" s="46">
        <f t="shared" si="20"/>
        <v>0</v>
      </c>
      <c r="AM15" s="51">
        <f t="shared" si="8"/>
        <v>0</v>
      </c>
      <c r="AN15" s="52">
        <f t="shared" si="21"/>
        <v>0.33333333333333331</v>
      </c>
      <c r="AO15" s="52">
        <f t="shared" si="22"/>
        <v>0.33333333333333331</v>
      </c>
      <c r="AQ15" s="1">
        <v>6</v>
      </c>
    </row>
    <row r="16" spans="2:45" ht="15" customHeight="1">
      <c r="B16" s="23">
        <f t="shared" si="9"/>
        <v>0</v>
      </c>
      <c r="C16" s="24">
        <f t="shared" si="23"/>
        <v>45998</v>
      </c>
      <c r="D16" s="47" t="str">
        <f t="shared" si="10"/>
        <v>日</v>
      </c>
      <c r="E16" s="25"/>
      <c r="F16" s="25"/>
      <c r="G16" s="25"/>
      <c r="H16" s="25"/>
      <c r="I16" s="25">
        <f t="shared" si="0"/>
        <v>0</v>
      </c>
      <c r="J16" s="25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7"/>
      <c r="V16" s="28" t="str">
        <f t="shared" si="11"/>
        <v/>
      </c>
      <c r="W16" s="28" t="str">
        <f t="shared" si="12"/>
        <v/>
      </c>
      <c r="X16" s="28" t="str">
        <f t="shared" si="13"/>
        <v/>
      </c>
      <c r="Y16" s="28" t="str">
        <f t="shared" si="14"/>
        <v/>
      </c>
      <c r="Z16" s="28" t="str">
        <f t="shared" si="15"/>
        <v/>
      </c>
      <c r="AA16" s="28" t="str">
        <f t="shared" si="16"/>
        <v/>
      </c>
      <c r="AB16" s="45"/>
      <c r="AC16" s="46">
        <f t="shared" si="2"/>
        <v>0</v>
      </c>
      <c r="AD16" s="46">
        <f t="shared" si="3"/>
        <v>0</v>
      </c>
      <c r="AE16" s="46">
        <f t="shared" si="17"/>
        <v>0</v>
      </c>
      <c r="AF16" s="46">
        <f t="shared" si="4"/>
        <v>0</v>
      </c>
      <c r="AG16" s="46">
        <f t="shared" si="5"/>
        <v>0</v>
      </c>
      <c r="AH16" s="46">
        <f t="shared" si="6"/>
        <v>0</v>
      </c>
      <c r="AI16" s="46">
        <f t="shared" si="18"/>
        <v>0</v>
      </c>
      <c r="AJ16" s="46">
        <f t="shared" si="19"/>
        <v>0</v>
      </c>
      <c r="AK16" s="46">
        <f t="shared" si="7"/>
        <v>0</v>
      </c>
      <c r="AL16" s="46">
        <f t="shared" si="20"/>
        <v>0</v>
      </c>
      <c r="AM16" s="51">
        <f t="shared" si="8"/>
        <v>0</v>
      </c>
      <c r="AN16" s="52">
        <f t="shared" si="21"/>
        <v>0.33333333333333331</v>
      </c>
      <c r="AO16" s="52">
        <f t="shared" si="22"/>
        <v>0.33333333333333331</v>
      </c>
      <c r="AQ16" s="1">
        <v>7</v>
      </c>
    </row>
    <row r="17" spans="2:43" ht="15" customHeight="1">
      <c r="B17" s="23">
        <f t="shared" si="9"/>
        <v>1</v>
      </c>
      <c r="C17" s="24">
        <f t="shared" si="23"/>
        <v>45999</v>
      </c>
      <c r="D17" s="47" t="str">
        <f t="shared" si="10"/>
        <v>月</v>
      </c>
      <c r="E17" s="25"/>
      <c r="F17" s="25"/>
      <c r="G17" s="25"/>
      <c r="H17" s="25"/>
      <c r="I17" s="25">
        <f t="shared" si="0"/>
        <v>0</v>
      </c>
      <c r="J17" s="25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7"/>
      <c r="V17" s="28" t="str">
        <f t="shared" si="11"/>
        <v/>
      </c>
      <c r="W17" s="28" t="str">
        <f t="shared" si="12"/>
        <v/>
      </c>
      <c r="X17" s="28" t="str">
        <f t="shared" si="13"/>
        <v/>
      </c>
      <c r="Y17" s="28" t="str">
        <f t="shared" si="14"/>
        <v/>
      </c>
      <c r="Z17" s="28" t="str">
        <f t="shared" si="15"/>
        <v/>
      </c>
      <c r="AA17" s="28" t="str">
        <f t="shared" si="16"/>
        <v/>
      </c>
      <c r="AB17" s="45"/>
      <c r="AC17" s="46">
        <f t="shared" si="2"/>
        <v>0</v>
      </c>
      <c r="AD17" s="46">
        <f t="shared" si="3"/>
        <v>0</v>
      </c>
      <c r="AE17" s="46">
        <f t="shared" si="17"/>
        <v>0</v>
      </c>
      <c r="AF17" s="46">
        <f t="shared" si="4"/>
        <v>0</v>
      </c>
      <c r="AG17" s="46">
        <f t="shared" si="5"/>
        <v>0</v>
      </c>
      <c r="AH17" s="46">
        <f t="shared" si="6"/>
        <v>0</v>
      </c>
      <c r="AI17" s="46">
        <f t="shared" si="18"/>
        <v>0</v>
      </c>
      <c r="AJ17" s="46">
        <f t="shared" si="19"/>
        <v>0</v>
      </c>
      <c r="AK17" s="46">
        <f t="shared" si="7"/>
        <v>0</v>
      </c>
      <c r="AL17" s="46">
        <f t="shared" si="20"/>
        <v>0</v>
      </c>
      <c r="AM17" s="51">
        <f t="shared" si="8"/>
        <v>0</v>
      </c>
      <c r="AN17" s="52">
        <f t="shared" si="21"/>
        <v>0.33333333333333331</v>
      </c>
      <c r="AO17" s="52">
        <f t="shared" si="22"/>
        <v>0.33333333333333331</v>
      </c>
      <c r="AQ17" s="1">
        <v>8</v>
      </c>
    </row>
    <row r="18" spans="2:43" ht="15" customHeight="1">
      <c r="B18" s="23">
        <f t="shared" si="9"/>
        <v>1</v>
      </c>
      <c r="C18" s="24">
        <f t="shared" si="23"/>
        <v>46000</v>
      </c>
      <c r="D18" s="47" t="str">
        <f t="shared" si="10"/>
        <v>火</v>
      </c>
      <c r="E18" s="25"/>
      <c r="F18" s="25"/>
      <c r="G18" s="25"/>
      <c r="H18" s="25"/>
      <c r="I18" s="25">
        <f t="shared" si="0"/>
        <v>0</v>
      </c>
      <c r="J18" s="25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8" t="str">
        <f t="shared" si="11"/>
        <v/>
      </c>
      <c r="W18" s="28" t="str">
        <f t="shared" si="12"/>
        <v/>
      </c>
      <c r="X18" s="28" t="str">
        <f t="shared" si="13"/>
        <v/>
      </c>
      <c r="Y18" s="28" t="str">
        <f t="shared" si="14"/>
        <v/>
      </c>
      <c r="Z18" s="28" t="str">
        <f t="shared" si="15"/>
        <v/>
      </c>
      <c r="AA18" s="28" t="str">
        <f t="shared" si="16"/>
        <v/>
      </c>
      <c r="AB18" s="45"/>
      <c r="AC18" s="46">
        <f t="shared" si="2"/>
        <v>0</v>
      </c>
      <c r="AD18" s="46">
        <f t="shared" si="3"/>
        <v>0</v>
      </c>
      <c r="AE18" s="46">
        <f t="shared" si="17"/>
        <v>0</v>
      </c>
      <c r="AF18" s="46">
        <f t="shared" si="4"/>
        <v>0</v>
      </c>
      <c r="AG18" s="46">
        <f t="shared" si="5"/>
        <v>0</v>
      </c>
      <c r="AH18" s="46">
        <f t="shared" si="6"/>
        <v>0</v>
      </c>
      <c r="AI18" s="46">
        <f t="shared" si="18"/>
        <v>0</v>
      </c>
      <c r="AJ18" s="46">
        <f t="shared" si="19"/>
        <v>0</v>
      </c>
      <c r="AK18" s="46">
        <f t="shared" si="7"/>
        <v>0</v>
      </c>
      <c r="AL18" s="46">
        <f t="shared" si="20"/>
        <v>0</v>
      </c>
      <c r="AM18" s="51">
        <f t="shared" si="8"/>
        <v>0</v>
      </c>
      <c r="AN18" s="52">
        <f t="shared" si="21"/>
        <v>0.33333333333333331</v>
      </c>
      <c r="AO18" s="52">
        <f t="shared" si="22"/>
        <v>0.33333333333333331</v>
      </c>
      <c r="AQ18" s="1">
        <v>9</v>
      </c>
    </row>
    <row r="19" spans="2:43" ht="15" customHeight="1">
      <c r="B19" s="23">
        <f t="shared" si="9"/>
        <v>1</v>
      </c>
      <c r="C19" s="24">
        <f t="shared" si="23"/>
        <v>46001</v>
      </c>
      <c r="D19" s="47" t="str">
        <f t="shared" si="10"/>
        <v>水</v>
      </c>
      <c r="E19" s="25"/>
      <c r="F19" s="25"/>
      <c r="G19" s="25"/>
      <c r="H19" s="25"/>
      <c r="I19" s="25">
        <f t="shared" si="0"/>
        <v>0</v>
      </c>
      <c r="J19" s="25"/>
      <c r="K19" s="26"/>
      <c r="L19" s="26"/>
      <c r="M19" s="26"/>
      <c r="N19" s="27"/>
      <c r="O19" s="27"/>
      <c r="P19" s="27"/>
      <c r="Q19" s="27"/>
      <c r="R19" s="27"/>
      <c r="S19" s="27"/>
      <c r="T19" s="27"/>
      <c r="U19" s="27"/>
      <c r="V19" s="28" t="str">
        <f t="shared" si="11"/>
        <v/>
      </c>
      <c r="W19" s="28" t="str">
        <f t="shared" si="12"/>
        <v/>
      </c>
      <c r="X19" s="28" t="str">
        <f t="shared" si="13"/>
        <v/>
      </c>
      <c r="Y19" s="28" t="str">
        <f t="shared" si="14"/>
        <v/>
      </c>
      <c r="Z19" s="28" t="str">
        <f t="shared" si="15"/>
        <v/>
      </c>
      <c r="AA19" s="28" t="str">
        <f t="shared" si="16"/>
        <v/>
      </c>
      <c r="AB19" s="45"/>
      <c r="AC19" s="46">
        <f t="shared" si="2"/>
        <v>0</v>
      </c>
      <c r="AD19" s="46">
        <f t="shared" si="3"/>
        <v>0</v>
      </c>
      <c r="AE19" s="46">
        <f t="shared" si="17"/>
        <v>0</v>
      </c>
      <c r="AF19" s="46">
        <f t="shared" si="4"/>
        <v>0</v>
      </c>
      <c r="AG19" s="46">
        <f t="shared" si="5"/>
        <v>0</v>
      </c>
      <c r="AH19" s="46">
        <f t="shared" si="6"/>
        <v>0</v>
      </c>
      <c r="AI19" s="46">
        <f t="shared" si="18"/>
        <v>0</v>
      </c>
      <c r="AJ19" s="46">
        <f t="shared" si="19"/>
        <v>0</v>
      </c>
      <c r="AK19" s="46">
        <f t="shared" si="7"/>
        <v>0</v>
      </c>
      <c r="AL19" s="46">
        <f t="shared" si="20"/>
        <v>0</v>
      </c>
      <c r="AM19" s="51">
        <f t="shared" si="8"/>
        <v>0</v>
      </c>
      <c r="AN19" s="52">
        <f t="shared" si="21"/>
        <v>0.33333333333333331</v>
      </c>
      <c r="AO19" s="52">
        <f t="shared" si="22"/>
        <v>0.33333333333333331</v>
      </c>
      <c r="AQ19" s="1">
        <v>10</v>
      </c>
    </row>
    <row r="20" spans="2:43" ht="15" customHeight="1">
      <c r="B20" s="23">
        <f t="shared" si="9"/>
        <v>1</v>
      </c>
      <c r="C20" s="24">
        <f t="shared" si="23"/>
        <v>46002</v>
      </c>
      <c r="D20" s="47" t="str">
        <f t="shared" si="10"/>
        <v>木</v>
      </c>
      <c r="E20" s="25"/>
      <c r="F20" s="25"/>
      <c r="G20" s="25"/>
      <c r="H20" s="25"/>
      <c r="I20" s="25">
        <f t="shared" si="0"/>
        <v>0</v>
      </c>
      <c r="J20" s="25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7"/>
      <c r="V20" s="28" t="str">
        <f t="shared" si="11"/>
        <v/>
      </c>
      <c r="W20" s="28" t="str">
        <f t="shared" si="12"/>
        <v/>
      </c>
      <c r="X20" s="28" t="str">
        <f t="shared" si="13"/>
        <v/>
      </c>
      <c r="Y20" s="28" t="str">
        <f t="shared" si="14"/>
        <v/>
      </c>
      <c r="Z20" s="28" t="str">
        <f t="shared" si="15"/>
        <v/>
      </c>
      <c r="AA20" s="28" t="str">
        <f t="shared" si="16"/>
        <v/>
      </c>
      <c r="AB20" s="45"/>
      <c r="AC20" s="46">
        <f t="shared" si="2"/>
        <v>0</v>
      </c>
      <c r="AD20" s="46">
        <f t="shared" si="3"/>
        <v>0</v>
      </c>
      <c r="AE20" s="46">
        <f t="shared" si="17"/>
        <v>0</v>
      </c>
      <c r="AF20" s="46">
        <f t="shared" si="4"/>
        <v>0</v>
      </c>
      <c r="AG20" s="46">
        <f t="shared" si="5"/>
        <v>0</v>
      </c>
      <c r="AH20" s="46">
        <f t="shared" si="6"/>
        <v>0</v>
      </c>
      <c r="AI20" s="46">
        <f t="shared" si="18"/>
        <v>0</v>
      </c>
      <c r="AJ20" s="46">
        <f t="shared" si="19"/>
        <v>0</v>
      </c>
      <c r="AK20" s="46">
        <f t="shared" si="7"/>
        <v>0</v>
      </c>
      <c r="AL20" s="46">
        <f t="shared" si="20"/>
        <v>0</v>
      </c>
      <c r="AM20" s="51">
        <f t="shared" si="8"/>
        <v>0</v>
      </c>
      <c r="AN20" s="52">
        <f t="shared" si="21"/>
        <v>0.33333333333333331</v>
      </c>
      <c r="AO20" s="52">
        <f t="shared" si="22"/>
        <v>0.33333333333333331</v>
      </c>
      <c r="AQ20" s="1">
        <v>11</v>
      </c>
    </row>
    <row r="21" spans="2:43" ht="15" customHeight="1">
      <c r="B21" s="23">
        <f t="shared" si="9"/>
        <v>1</v>
      </c>
      <c r="C21" s="24">
        <f t="shared" si="23"/>
        <v>46003</v>
      </c>
      <c r="D21" s="47" t="str">
        <f t="shared" si="10"/>
        <v>金</v>
      </c>
      <c r="E21" s="25"/>
      <c r="F21" s="25"/>
      <c r="G21" s="25"/>
      <c r="H21" s="25"/>
      <c r="I21" s="25">
        <f t="shared" si="0"/>
        <v>0</v>
      </c>
      <c r="J21" s="25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8" t="str">
        <f t="shared" si="11"/>
        <v/>
      </c>
      <c r="W21" s="28" t="str">
        <f t="shared" si="12"/>
        <v/>
      </c>
      <c r="X21" s="28" t="str">
        <f t="shared" si="13"/>
        <v/>
      </c>
      <c r="Y21" s="28" t="str">
        <f t="shared" si="14"/>
        <v/>
      </c>
      <c r="Z21" s="28" t="str">
        <f t="shared" si="15"/>
        <v/>
      </c>
      <c r="AA21" s="28" t="str">
        <f t="shared" si="16"/>
        <v/>
      </c>
      <c r="AB21" s="45"/>
      <c r="AC21" s="46">
        <f t="shared" si="2"/>
        <v>0</v>
      </c>
      <c r="AD21" s="46">
        <f t="shared" si="3"/>
        <v>0</v>
      </c>
      <c r="AE21" s="46">
        <f t="shared" si="17"/>
        <v>0</v>
      </c>
      <c r="AF21" s="46">
        <f t="shared" si="4"/>
        <v>0</v>
      </c>
      <c r="AG21" s="46">
        <f t="shared" si="5"/>
        <v>0</v>
      </c>
      <c r="AH21" s="46">
        <f t="shared" si="6"/>
        <v>0</v>
      </c>
      <c r="AI21" s="46">
        <f t="shared" si="18"/>
        <v>0</v>
      </c>
      <c r="AJ21" s="46">
        <f t="shared" si="19"/>
        <v>0</v>
      </c>
      <c r="AK21" s="46">
        <f t="shared" si="7"/>
        <v>0</v>
      </c>
      <c r="AL21" s="46">
        <f t="shared" si="20"/>
        <v>0</v>
      </c>
      <c r="AM21" s="51">
        <f t="shared" si="8"/>
        <v>0</v>
      </c>
      <c r="AN21" s="52">
        <f t="shared" si="21"/>
        <v>0.33333333333333331</v>
      </c>
      <c r="AO21" s="52">
        <f t="shared" si="22"/>
        <v>0.33333333333333331</v>
      </c>
      <c r="AQ21" s="1">
        <v>12</v>
      </c>
    </row>
    <row r="22" spans="2:43" ht="15" customHeight="1">
      <c r="B22" s="23">
        <f t="shared" si="9"/>
        <v>0</v>
      </c>
      <c r="C22" s="24">
        <f t="shared" si="23"/>
        <v>46004</v>
      </c>
      <c r="D22" s="47" t="str">
        <f t="shared" si="10"/>
        <v>土</v>
      </c>
      <c r="E22" s="25"/>
      <c r="F22" s="25"/>
      <c r="G22" s="25"/>
      <c r="H22" s="25"/>
      <c r="I22" s="25">
        <f t="shared" si="0"/>
        <v>0</v>
      </c>
      <c r="J22" s="25"/>
      <c r="K22" s="26"/>
      <c r="L22" s="26"/>
      <c r="M22" s="26"/>
      <c r="N22" s="27"/>
      <c r="O22" s="27"/>
      <c r="P22" s="27"/>
      <c r="Q22" s="27"/>
      <c r="R22" s="27"/>
      <c r="S22" s="27"/>
      <c r="T22" s="27"/>
      <c r="U22" s="27"/>
      <c r="V22" s="28" t="str">
        <f t="shared" si="11"/>
        <v/>
      </c>
      <c r="W22" s="28" t="str">
        <f t="shared" si="12"/>
        <v/>
      </c>
      <c r="X22" s="28" t="str">
        <f t="shared" si="13"/>
        <v/>
      </c>
      <c r="Y22" s="28" t="str">
        <f t="shared" si="14"/>
        <v/>
      </c>
      <c r="Z22" s="28" t="str">
        <f t="shared" si="15"/>
        <v/>
      </c>
      <c r="AA22" s="28" t="str">
        <f t="shared" si="16"/>
        <v/>
      </c>
      <c r="AB22" s="45"/>
      <c r="AC22" s="46">
        <f t="shared" si="2"/>
        <v>0</v>
      </c>
      <c r="AD22" s="46">
        <f t="shared" si="3"/>
        <v>0</v>
      </c>
      <c r="AE22" s="46">
        <f t="shared" si="17"/>
        <v>0</v>
      </c>
      <c r="AF22" s="46">
        <f t="shared" si="4"/>
        <v>0</v>
      </c>
      <c r="AG22" s="46">
        <f t="shared" si="5"/>
        <v>0</v>
      </c>
      <c r="AH22" s="46">
        <f t="shared" si="6"/>
        <v>0</v>
      </c>
      <c r="AI22" s="46">
        <f t="shared" si="18"/>
        <v>0</v>
      </c>
      <c r="AJ22" s="46">
        <f t="shared" si="19"/>
        <v>0</v>
      </c>
      <c r="AK22" s="46">
        <f t="shared" si="7"/>
        <v>0</v>
      </c>
      <c r="AL22" s="46">
        <f t="shared" si="20"/>
        <v>0</v>
      </c>
      <c r="AM22" s="51">
        <f t="shared" si="8"/>
        <v>0</v>
      </c>
      <c r="AN22" s="52">
        <f t="shared" si="21"/>
        <v>0.33333333333333331</v>
      </c>
      <c r="AO22" s="52">
        <f t="shared" si="22"/>
        <v>0.33333333333333331</v>
      </c>
      <c r="AQ22" s="1">
        <v>13</v>
      </c>
    </row>
    <row r="23" spans="2:43" ht="15" customHeight="1">
      <c r="B23" s="23">
        <f t="shared" si="9"/>
        <v>0</v>
      </c>
      <c r="C23" s="24">
        <f t="shared" si="23"/>
        <v>46005</v>
      </c>
      <c r="D23" s="47" t="str">
        <f t="shared" si="10"/>
        <v>日</v>
      </c>
      <c r="E23" s="25"/>
      <c r="F23" s="25"/>
      <c r="G23" s="25"/>
      <c r="H23" s="25"/>
      <c r="I23" s="25">
        <f t="shared" si="0"/>
        <v>0</v>
      </c>
      <c r="J23" s="25"/>
      <c r="K23" s="26"/>
      <c r="L23" s="26"/>
      <c r="M23" s="26"/>
      <c r="N23" s="27"/>
      <c r="O23" s="27"/>
      <c r="P23" s="27"/>
      <c r="Q23" s="27"/>
      <c r="R23" s="27"/>
      <c r="S23" s="27"/>
      <c r="T23" s="27"/>
      <c r="U23" s="27"/>
      <c r="V23" s="28" t="str">
        <f t="shared" si="11"/>
        <v/>
      </c>
      <c r="W23" s="28" t="str">
        <f t="shared" si="12"/>
        <v/>
      </c>
      <c r="X23" s="28" t="str">
        <f t="shared" si="13"/>
        <v/>
      </c>
      <c r="Y23" s="28" t="str">
        <f t="shared" si="14"/>
        <v/>
      </c>
      <c r="Z23" s="28" t="str">
        <f t="shared" si="15"/>
        <v/>
      </c>
      <c r="AA23" s="28" t="str">
        <f t="shared" si="16"/>
        <v/>
      </c>
      <c r="AB23" s="45"/>
      <c r="AC23" s="46">
        <f t="shared" si="2"/>
        <v>0</v>
      </c>
      <c r="AD23" s="46">
        <f t="shared" si="3"/>
        <v>0</v>
      </c>
      <c r="AE23" s="46">
        <f t="shared" si="17"/>
        <v>0</v>
      </c>
      <c r="AF23" s="46">
        <f t="shared" si="4"/>
        <v>0</v>
      </c>
      <c r="AG23" s="46">
        <f t="shared" si="5"/>
        <v>0</v>
      </c>
      <c r="AH23" s="46">
        <f t="shared" si="6"/>
        <v>0</v>
      </c>
      <c r="AI23" s="46">
        <f t="shared" si="18"/>
        <v>0</v>
      </c>
      <c r="AJ23" s="46">
        <f t="shared" si="19"/>
        <v>0</v>
      </c>
      <c r="AK23" s="46">
        <f t="shared" si="7"/>
        <v>0</v>
      </c>
      <c r="AL23" s="46">
        <f t="shared" si="20"/>
        <v>0</v>
      </c>
      <c r="AM23" s="51">
        <f t="shared" si="8"/>
        <v>0</v>
      </c>
      <c r="AN23" s="52">
        <f t="shared" si="21"/>
        <v>0.33333333333333331</v>
      </c>
      <c r="AO23" s="52">
        <f t="shared" si="22"/>
        <v>0.33333333333333331</v>
      </c>
      <c r="AQ23" s="1">
        <v>14</v>
      </c>
    </row>
    <row r="24" spans="2:43" ht="15" customHeight="1">
      <c r="B24" s="23">
        <f t="shared" si="9"/>
        <v>1</v>
      </c>
      <c r="C24" s="24">
        <f t="shared" si="23"/>
        <v>46006</v>
      </c>
      <c r="D24" s="47" t="str">
        <f t="shared" si="10"/>
        <v>月</v>
      </c>
      <c r="E24" s="25"/>
      <c r="F24" s="25"/>
      <c r="G24" s="25"/>
      <c r="H24" s="25"/>
      <c r="I24" s="25">
        <f t="shared" si="0"/>
        <v>0</v>
      </c>
      <c r="J24" s="25"/>
      <c r="K24" s="26"/>
      <c r="L24" s="26"/>
      <c r="M24" s="26"/>
      <c r="N24" s="27"/>
      <c r="O24" s="27"/>
      <c r="P24" s="27"/>
      <c r="Q24" s="27"/>
      <c r="R24" s="27"/>
      <c r="S24" s="27"/>
      <c r="T24" s="27"/>
      <c r="U24" s="27"/>
      <c r="V24" s="28" t="str">
        <f t="shared" si="11"/>
        <v/>
      </c>
      <c r="W24" s="28" t="str">
        <f t="shared" si="12"/>
        <v/>
      </c>
      <c r="X24" s="28" t="str">
        <f t="shared" si="13"/>
        <v/>
      </c>
      <c r="Y24" s="28" t="str">
        <f t="shared" si="14"/>
        <v/>
      </c>
      <c r="Z24" s="28" t="str">
        <f t="shared" si="15"/>
        <v/>
      </c>
      <c r="AA24" s="28" t="str">
        <f t="shared" si="16"/>
        <v/>
      </c>
      <c r="AB24" s="45"/>
      <c r="AC24" s="46">
        <f t="shared" si="2"/>
        <v>0</v>
      </c>
      <c r="AD24" s="46">
        <f t="shared" si="3"/>
        <v>0</v>
      </c>
      <c r="AE24" s="46">
        <f t="shared" si="17"/>
        <v>0</v>
      </c>
      <c r="AF24" s="46">
        <f t="shared" si="4"/>
        <v>0</v>
      </c>
      <c r="AG24" s="46">
        <f t="shared" si="5"/>
        <v>0</v>
      </c>
      <c r="AH24" s="46">
        <f t="shared" si="6"/>
        <v>0</v>
      </c>
      <c r="AI24" s="46">
        <f t="shared" si="18"/>
        <v>0</v>
      </c>
      <c r="AJ24" s="46">
        <f t="shared" si="19"/>
        <v>0</v>
      </c>
      <c r="AK24" s="46">
        <f t="shared" si="7"/>
        <v>0</v>
      </c>
      <c r="AL24" s="46">
        <f t="shared" si="20"/>
        <v>0</v>
      </c>
      <c r="AM24" s="51">
        <f t="shared" si="8"/>
        <v>0</v>
      </c>
      <c r="AN24" s="52">
        <f t="shared" si="21"/>
        <v>0.33333333333333331</v>
      </c>
      <c r="AO24" s="52">
        <f t="shared" si="22"/>
        <v>0.33333333333333331</v>
      </c>
      <c r="AQ24" s="1">
        <v>15</v>
      </c>
    </row>
    <row r="25" spans="2:43" ht="15" customHeight="1">
      <c r="B25" s="23">
        <f t="shared" si="9"/>
        <v>1</v>
      </c>
      <c r="C25" s="24">
        <f t="shared" si="23"/>
        <v>46007</v>
      </c>
      <c r="D25" s="47" t="str">
        <f t="shared" si="10"/>
        <v>火</v>
      </c>
      <c r="E25" s="25"/>
      <c r="F25" s="25"/>
      <c r="G25" s="25"/>
      <c r="H25" s="25"/>
      <c r="I25" s="25">
        <f t="shared" si="0"/>
        <v>0</v>
      </c>
      <c r="J25" s="25"/>
      <c r="K25" s="26"/>
      <c r="L25" s="26"/>
      <c r="M25" s="26"/>
      <c r="N25" s="27"/>
      <c r="O25" s="27"/>
      <c r="P25" s="27"/>
      <c r="Q25" s="27"/>
      <c r="R25" s="27"/>
      <c r="S25" s="27"/>
      <c r="T25" s="27"/>
      <c r="U25" s="27"/>
      <c r="V25" s="28" t="str">
        <f t="shared" si="11"/>
        <v/>
      </c>
      <c r="W25" s="28" t="str">
        <f t="shared" si="12"/>
        <v/>
      </c>
      <c r="X25" s="28" t="str">
        <f t="shared" si="13"/>
        <v/>
      </c>
      <c r="Y25" s="28" t="str">
        <f t="shared" si="14"/>
        <v/>
      </c>
      <c r="Z25" s="28" t="str">
        <f t="shared" si="15"/>
        <v/>
      </c>
      <c r="AA25" s="28" t="str">
        <f t="shared" si="16"/>
        <v/>
      </c>
      <c r="AB25" s="45"/>
      <c r="AC25" s="46">
        <f t="shared" si="2"/>
        <v>0</v>
      </c>
      <c r="AD25" s="46">
        <f t="shared" si="3"/>
        <v>0</v>
      </c>
      <c r="AE25" s="46">
        <f t="shared" si="17"/>
        <v>0</v>
      </c>
      <c r="AF25" s="46">
        <f t="shared" si="4"/>
        <v>0</v>
      </c>
      <c r="AG25" s="46">
        <f t="shared" si="5"/>
        <v>0</v>
      </c>
      <c r="AH25" s="46">
        <f t="shared" si="6"/>
        <v>0</v>
      </c>
      <c r="AI25" s="46">
        <f t="shared" si="18"/>
        <v>0</v>
      </c>
      <c r="AJ25" s="46">
        <f t="shared" si="19"/>
        <v>0</v>
      </c>
      <c r="AK25" s="46">
        <f t="shared" si="7"/>
        <v>0</v>
      </c>
      <c r="AL25" s="46">
        <f t="shared" si="20"/>
        <v>0</v>
      </c>
      <c r="AM25" s="51">
        <f t="shared" si="8"/>
        <v>0</v>
      </c>
      <c r="AN25" s="52">
        <f t="shared" si="21"/>
        <v>0.33333333333333331</v>
      </c>
      <c r="AO25" s="52">
        <f t="shared" si="22"/>
        <v>0.33333333333333331</v>
      </c>
      <c r="AQ25" s="1">
        <v>16</v>
      </c>
    </row>
    <row r="26" spans="2:43" ht="15" customHeight="1">
      <c r="B26" s="23">
        <f t="shared" si="9"/>
        <v>1</v>
      </c>
      <c r="C26" s="24">
        <f t="shared" si="23"/>
        <v>46008</v>
      </c>
      <c r="D26" s="47" t="str">
        <f t="shared" si="10"/>
        <v>水</v>
      </c>
      <c r="E26" s="25"/>
      <c r="F26" s="25"/>
      <c r="G26" s="25"/>
      <c r="H26" s="25"/>
      <c r="I26" s="25">
        <f t="shared" si="0"/>
        <v>0</v>
      </c>
      <c r="J26" s="25"/>
      <c r="K26" s="26"/>
      <c r="L26" s="26"/>
      <c r="M26" s="26"/>
      <c r="N26" s="27"/>
      <c r="O26" s="27"/>
      <c r="P26" s="27"/>
      <c r="Q26" s="27"/>
      <c r="R26" s="27"/>
      <c r="S26" s="27"/>
      <c r="T26" s="27"/>
      <c r="U26" s="27"/>
      <c r="V26" s="28" t="str">
        <f t="shared" si="11"/>
        <v/>
      </c>
      <c r="W26" s="28" t="str">
        <f t="shared" si="12"/>
        <v/>
      </c>
      <c r="X26" s="28" t="str">
        <f t="shared" si="13"/>
        <v/>
      </c>
      <c r="Y26" s="28" t="str">
        <f t="shared" si="14"/>
        <v/>
      </c>
      <c r="Z26" s="28" t="str">
        <f t="shared" si="15"/>
        <v/>
      </c>
      <c r="AA26" s="28" t="str">
        <f t="shared" si="16"/>
        <v/>
      </c>
      <c r="AB26" s="45"/>
      <c r="AC26" s="46">
        <f t="shared" si="2"/>
        <v>0</v>
      </c>
      <c r="AD26" s="46">
        <f t="shared" si="3"/>
        <v>0</v>
      </c>
      <c r="AE26" s="46">
        <f t="shared" si="17"/>
        <v>0</v>
      </c>
      <c r="AF26" s="46">
        <f t="shared" si="4"/>
        <v>0</v>
      </c>
      <c r="AG26" s="46">
        <f t="shared" si="5"/>
        <v>0</v>
      </c>
      <c r="AH26" s="46">
        <f t="shared" si="6"/>
        <v>0</v>
      </c>
      <c r="AI26" s="46">
        <f t="shared" si="18"/>
        <v>0</v>
      </c>
      <c r="AJ26" s="46">
        <f t="shared" si="19"/>
        <v>0</v>
      </c>
      <c r="AK26" s="46">
        <f t="shared" si="7"/>
        <v>0</v>
      </c>
      <c r="AL26" s="46">
        <f t="shared" si="20"/>
        <v>0</v>
      </c>
      <c r="AM26" s="51">
        <f t="shared" si="8"/>
        <v>0</v>
      </c>
      <c r="AN26" s="52">
        <f t="shared" si="21"/>
        <v>0.33333333333333331</v>
      </c>
      <c r="AO26" s="52">
        <f t="shared" si="22"/>
        <v>0.33333333333333331</v>
      </c>
      <c r="AQ26" s="1">
        <v>17</v>
      </c>
    </row>
    <row r="27" spans="2:43" ht="15" customHeight="1">
      <c r="B27" s="23">
        <f t="shared" si="9"/>
        <v>1</v>
      </c>
      <c r="C27" s="24">
        <f t="shared" si="23"/>
        <v>46009</v>
      </c>
      <c r="D27" s="47" t="str">
        <f t="shared" si="10"/>
        <v>木</v>
      </c>
      <c r="E27" s="25"/>
      <c r="F27" s="25"/>
      <c r="G27" s="25"/>
      <c r="H27" s="25"/>
      <c r="I27" s="25">
        <f t="shared" si="0"/>
        <v>0</v>
      </c>
      <c r="J27" s="25"/>
      <c r="K27" s="26"/>
      <c r="L27" s="26"/>
      <c r="M27" s="26"/>
      <c r="N27" s="27"/>
      <c r="O27" s="27"/>
      <c r="P27" s="27"/>
      <c r="Q27" s="27"/>
      <c r="R27" s="27"/>
      <c r="S27" s="27"/>
      <c r="T27" s="27"/>
      <c r="U27" s="27"/>
      <c r="V27" s="28" t="str">
        <f t="shared" si="11"/>
        <v/>
      </c>
      <c r="W27" s="28" t="str">
        <f t="shared" si="12"/>
        <v/>
      </c>
      <c r="X27" s="28" t="str">
        <f t="shared" si="13"/>
        <v/>
      </c>
      <c r="Y27" s="28" t="str">
        <f t="shared" si="14"/>
        <v/>
      </c>
      <c r="Z27" s="28" t="str">
        <f t="shared" si="15"/>
        <v/>
      </c>
      <c r="AA27" s="28" t="str">
        <f t="shared" si="16"/>
        <v/>
      </c>
      <c r="AB27" s="45"/>
      <c r="AC27" s="46">
        <f t="shared" si="2"/>
        <v>0</v>
      </c>
      <c r="AD27" s="46">
        <f t="shared" si="3"/>
        <v>0</v>
      </c>
      <c r="AE27" s="46">
        <f t="shared" si="17"/>
        <v>0</v>
      </c>
      <c r="AF27" s="46">
        <f t="shared" si="4"/>
        <v>0</v>
      </c>
      <c r="AG27" s="46">
        <f t="shared" si="5"/>
        <v>0</v>
      </c>
      <c r="AH27" s="46">
        <f t="shared" si="6"/>
        <v>0</v>
      </c>
      <c r="AI27" s="46">
        <f t="shared" si="18"/>
        <v>0</v>
      </c>
      <c r="AJ27" s="46">
        <f t="shared" si="19"/>
        <v>0</v>
      </c>
      <c r="AK27" s="46">
        <f t="shared" si="7"/>
        <v>0</v>
      </c>
      <c r="AL27" s="46">
        <f t="shared" si="20"/>
        <v>0</v>
      </c>
      <c r="AM27" s="51">
        <f t="shared" si="8"/>
        <v>0</v>
      </c>
      <c r="AN27" s="52">
        <f t="shared" si="21"/>
        <v>0.33333333333333331</v>
      </c>
      <c r="AO27" s="52">
        <f t="shared" si="22"/>
        <v>0.33333333333333331</v>
      </c>
      <c r="AQ27" s="1">
        <v>18</v>
      </c>
    </row>
    <row r="28" spans="2:43" ht="15" customHeight="1">
      <c r="B28" s="23">
        <f t="shared" si="9"/>
        <v>1</v>
      </c>
      <c r="C28" s="24">
        <f t="shared" si="23"/>
        <v>46010</v>
      </c>
      <c r="D28" s="47" t="str">
        <f t="shared" si="10"/>
        <v>金</v>
      </c>
      <c r="E28" s="25"/>
      <c r="F28" s="25"/>
      <c r="G28" s="25"/>
      <c r="H28" s="25"/>
      <c r="I28" s="25">
        <f t="shared" si="0"/>
        <v>0</v>
      </c>
      <c r="J28" s="25"/>
      <c r="K28" s="26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8" t="str">
        <f t="shared" si="11"/>
        <v/>
      </c>
      <c r="W28" s="28" t="str">
        <f t="shared" si="12"/>
        <v/>
      </c>
      <c r="X28" s="28" t="str">
        <f t="shared" si="13"/>
        <v/>
      </c>
      <c r="Y28" s="28" t="str">
        <f t="shared" si="14"/>
        <v/>
      </c>
      <c r="Z28" s="28" t="str">
        <f t="shared" si="15"/>
        <v/>
      </c>
      <c r="AA28" s="28" t="str">
        <f t="shared" si="16"/>
        <v/>
      </c>
      <c r="AB28" s="45"/>
      <c r="AC28" s="46">
        <f t="shared" si="2"/>
        <v>0</v>
      </c>
      <c r="AD28" s="46">
        <f t="shared" si="3"/>
        <v>0</v>
      </c>
      <c r="AE28" s="46">
        <f t="shared" si="17"/>
        <v>0</v>
      </c>
      <c r="AF28" s="46">
        <f t="shared" si="4"/>
        <v>0</v>
      </c>
      <c r="AG28" s="46">
        <f t="shared" si="5"/>
        <v>0</v>
      </c>
      <c r="AH28" s="46">
        <f t="shared" si="6"/>
        <v>0</v>
      </c>
      <c r="AI28" s="46">
        <f t="shared" si="18"/>
        <v>0</v>
      </c>
      <c r="AJ28" s="46">
        <f t="shared" si="19"/>
        <v>0</v>
      </c>
      <c r="AK28" s="46">
        <f t="shared" si="7"/>
        <v>0</v>
      </c>
      <c r="AL28" s="46">
        <f t="shared" si="20"/>
        <v>0</v>
      </c>
      <c r="AM28" s="51">
        <f t="shared" si="8"/>
        <v>0</v>
      </c>
      <c r="AN28" s="52">
        <f t="shared" si="21"/>
        <v>0.33333333333333331</v>
      </c>
      <c r="AO28" s="52">
        <f t="shared" si="22"/>
        <v>0.33333333333333331</v>
      </c>
      <c r="AQ28" s="1">
        <v>19</v>
      </c>
    </row>
    <row r="29" spans="2:43" ht="15" customHeight="1">
      <c r="B29" s="23">
        <f t="shared" si="9"/>
        <v>0</v>
      </c>
      <c r="C29" s="24">
        <f t="shared" si="23"/>
        <v>46011</v>
      </c>
      <c r="D29" s="47" t="str">
        <f t="shared" si="10"/>
        <v>土</v>
      </c>
      <c r="E29" s="25"/>
      <c r="F29" s="25"/>
      <c r="G29" s="25"/>
      <c r="H29" s="25"/>
      <c r="I29" s="25">
        <f t="shared" si="0"/>
        <v>0</v>
      </c>
      <c r="J29" s="25"/>
      <c r="K29" s="26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8" t="str">
        <f t="shared" si="11"/>
        <v/>
      </c>
      <c r="W29" s="28" t="str">
        <f t="shared" si="12"/>
        <v/>
      </c>
      <c r="X29" s="28" t="str">
        <f t="shared" si="13"/>
        <v/>
      </c>
      <c r="Y29" s="28" t="str">
        <f t="shared" si="14"/>
        <v/>
      </c>
      <c r="Z29" s="28" t="str">
        <f t="shared" si="15"/>
        <v/>
      </c>
      <c r="AA29" s="28" t="str">
        <f t="shared" si="16"/>
        <v/>
      </c>
      <c r="AB29" s="45"/>
      <c r="AC29" s="46">
        <f t="shared" si="2"/>
        <v>0</v>
      </c>
      <c r="AD29" s="46">
        <f t="shared" si="3"/>
        <v>0</v>
      </c>
      <c r="AE29" s="46">
        <f t="shared" si="17"/>
        <v>0</v>
      </c>
      <c r="AF29" s="46">
        <f t="shared" si="4"/>
        <v>0</v>
      </c>
      <c r="AG29" s="46">
        <f t="shared" si="5"/>
        <v>0</v>
      </c>
      <c r="AH29" s="46">
        <f t="shared" si="6"/>
        <v>0</v>
      </c>
      <c r="AI29" s="46">
        <f t="shared" si="18"/>
        <v>0</v>
      </c>
      <c r="AJ29" s="46">
        <f t="shared" si="19"/>
        <v>0</v>
      </c>
      <c r="AK29" s="46">
        <f t="shared" si="7"/>
        <v>0</v>
      </c>
      <c r="AL29" s="46">
        <f t="shared" si="20"/>
        <v>0</v>
      </c>
      <c r="AM29" s="51">
        <f t="shared" si="8"/>
        <v>0</v>
      </c>
      <c r="AN29" s="52">
        <f t="shared" si="21"/>
        <v>0.33333333333333331</v>
      </c>
      <c r="AO29" s="52">
        <f t="shared" si="22"/>
        <v>0.33333333333333331</v>
      </c>
      <c r="AQ29" s="1">
        <v>20</v>
      </c>
    </row>
    <row r="30" spans="2:43" ht="15" customHeight="1">
      <c r="B30" s="23">
        <f t="shared" si="9"/>
        <v>0</v>
      </c>
      <c r="C30" s="24">
        <f t="shared" si="23"/>
        <v>46012</v>
      </c>
      <c r="D30" s="47" t="str">
        <f t="shared" si="10"/>
        <v>日</v>
      </c>
      <c r="E30" s="25"/>
      <c r="F30" s="25"/>
      <c r="G30" s="25"/>
      <c r="H30" s="25"/>
      <c r="I30" s="25">
        <f t="shared" si="0"/>
        <v>0</v>
      </c>
      <c r="J30" s="25"/>
      <c r="K30" s="26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8" t="str">
        <f t="shared" si="11"/>
        <v/>
      </c>
      <c r="W30" s="28" t="str">
        <f t="shared" si="12"/>
        <v/>
      </c>
      <c r="X30" s="28" t="str">
        <f t="shared" si="13"/>
        <v/>
      </c>
      <c r="Y30" s="28" t="str">
        <f t="shared" si="14"/>
        <v/>
      </c>
      <c r="Z30" s="28" t="str">
        <f t="shared" si="15"/>
        <v/>
      </c>
      <c r="AA30" s="28" t="str">
        <f t="shared" si="16"/>
        <v/>
      </c>
      <c r="AB30" s="45"/>
      <c r="AC30" s="46">
        <f t="shared" si="2"/>
        <v>0</v>
      </c>
      <c r="AD30" s="46">
        <f t="shared" si="3"/>
        <v>0</v>
      </c>
      <c r="AE30" s="46">
        <f t="shared" si="17"/>
        <v>0</v>
      </c>
      <c r="AF30" s="46">
        <f t="shared" si="4"/>
        <v>0</v>
      </c>
      <c r="AG30" s="46">
        <f t="shared" si="5"/>
        <v>0</v>
      </c>
      <c r="AH30" s="46">
        <f t="shared" si="6"/>
        <v>0</v>
      </c>
      <c r="AI30" s="46">
        <f t="shared" si="18"/>
        <v>0</v>
      </c>
      <c r="AJ30" s="46">
        <f t="shared" si="19"/>
        <v>0</v>
      </c>
      <c r="AK30" s="46">
        <f t="shared" si="7"/>
        <v>0</v>
      </c>
      <c r="AL30" s="46">
        <f t="shared" si="20"/>
        <v>0</v>
      </c>
      <c r="AM30" s="51">
        <f t="shared" si="8"/>
        <v>0</v>
      </c>
      <c r="AN30" s="52">
        <f t="shared" si="21"/>
        <v>0.33333333333333331</v>
      </c>
      <c r="AO30" s="52">
        <f t="shared" si="22"/>
        <v>0.33333333333333331</v>
      </c>
      <c r="AQ30" s="1">
        <v>21</v>
      </c>
    </row>
    <row r="31" spans="2:43" ht="15" customHeight="1">
      <c r="B31" s="23">
        <f t="shared" si="9"/>
        <v>1</v>
      </c>
      <c r="C31" s="24">
        <f t="shared" si="23"/>
        <v>46013</v>
      </c>
      <c r="D31" s="47" t="str">
        <f t="shared" si="10"/>
        <v>月</v>
      </c>
      <c r="E31" s="25"/>
      <c r="F31" s="25"/>
      <c r="G31" s="25"/>
      <c r="H31" s="25"/>
      <c r="I31" s="25">
        <f t="shared" si="0"/>
        <v>0</v>
      </c>
      <c r="J31" s="25"/>
      <c r="K31" s="26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8" t="str">
        <f t="shared" si="11"/>
        <v/>
      </c>
      <c r="W31" s="28" t="str">
        <f t="shared" si="12"/>
        <v/>
      </c>
      <c r="X31" s="28" t="str">
        <f t="shared" si="13"/>
        <v/>
      </c>
      <c r="Y31" s="28" t="str">
        <f t="shared" si="14"/>
        <v/>
      </c>
      <c r="Z31" s="28" t="str">
        <f t="shared" si="15"/>
        <v/>
      </c>
      <c r="AA31" s="28" t="str">
        <f t="shared" si="16"/>
        <v/>
      </c>
      <c r="AB31" s="45"/>
      <c r="AC31" s="46">
        <f t="shared" si="2"/>
        <v>0</v>
      </c>
      <c r="AD31" s="46">
        <f t="shared" si="3"/>
        <v>0</v>
      </c>
      <c r="AE31" s="46">
        <f t="shared" si="17"/>
        <v>0</v>
      </c>
      <c r="AF31" s="46">
        <f t="shared" si="4"/>
        <v>0</v>
      </c>
      <c r="AG31" s="46">
        <f t="shared" si="5"/>
        <v>0</v>
      </c>
      <c r="AH31" s="46">
        <f t="shared" si="6"/>
        <v>0</v>
      </c>
      <c r="AI31" s="46">
        <f t="shared" si="18"/>
        <v>0</v>
      </c>
      <c r="AJ31" s="46">
        <f t="shared" si="19"/>
        <v>0</v>
      </c>
      <c r="AK31" s="46">
        <f t="shared" si="7"/>
        <v>0</v>
      </c>
      <c r="AL31" s="46">
        <f t="shared" si="20"/>
        <v>0</v>
      </c>
      <c r="AM31" s="51">
        <f t="shared" si="8"/>
        <v>0</v>
      </c>
      <c r="AN31" s="52">
        <f t="shared" si="21"/>
        <v>0.33333333333333331</v>
      </c>
      <c r="AO31" s="52">
        <f t="shared" si="22"/>
        <v>0.33333333333333331</v>
      </c>
      <c r="AQ31" s="1">
        <v>22</v>
      </c>
    </row>
    <row r="32" spans="2:43" ht="15" customHeight="1">
      <c r="B32" s="23">
        <f t="shared" si="9"/>
        <v>1</v>
      </c>
      <c r="C32" s="24">
        <f t="shared" si="23"/>
        <v>46014</v>
      </c>
      <c r="D32" s="47" t="str">
        <f t="shared" si="10"/>
        <v>火</v>
      </c>
      <c r="E32" s="25"/>
      <c r="F32" s="25"/>
      <c r="G32" s="25"/>
      <c r="H32" s="25"/>
      <c r="I32" s="25">
        <f t="shared" si="0"/>
        <v>0</v>
      </c>
      <c r="J32" s="25"/>
      <c r="K32" s="26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8" t="str">
        <f t="shared" si="11"/>
        <v/>
      </c>
      <c r="W32" s="28" t="str">
        <f t="shared" si="12"/>
        <v/>
      </c>
      <c r="X32" s="28" t="str">
        <f t="shared" si="13"/>
        <v/>
      </c>
      <c r="Y32" s="28" t="str">
        <f t="shared" si="14"/>
        <v/>
      </c>
      <c r="Z32" s="28" t="str">
        <f t="shared" si="15"/>
        <v/>
      </c>
      <c r="AA32" s="28" t="str">
        <f t="shared" si="16"/>
        <v/>
      </c>
      <c r="AB32" s="45"/>
      <c r="AC32" s="46">
        <f t="shared" si="2"/>
        <v>0</v>
      </c>
      <c r="AD32" s="46">
        <f t="shared" si="3"/>
        <v>0</v>
      </c>
      <c r="AE32" s="46">
        <f t="shared" si="17"/>
        <v>0</v>
      </c>
      <c r="AF32" s="46">
        <f t="shared" si="4"/>
        <v>0</v>
      </c>
      <c r="AG32" s="46">
        <f t="shared" si="5"/>
        <v>0</v>
      </c>
      <c r="AH32" s="46">
        <f t="shared" si="6"/>
        <v>0</v>
      </c>
      <c r="AI32" s="46">
        <f t="shared" si="18"/>
        <v>0</v>
      </c>
      <c r="AJ32" s="46">
        <f t="shared" si="19"/>
        <v>0</v>
      </c>
      <c r="AK32" s="46">
        <f t="shared" si="7"/>
        <v>0</v>
      </c>
      <c r="AL32" s="46">
        <f t="shared" si="20"/>
        <v>0</v>
      </c>
      <c r="AM32" s="51">
        <f t="shared" si="8"/>
        <v>0</v>
      </c>
      <c r="AN32" s="52">
        <f t="shared" si="21"/>
        <v>0.33333333333333331</v>
      </c>
      <c r="AO32" s="52">
        <f t="shared" si="22"/>
        <v>0.33333333333333331</v>
      </c>
      <c r="AQ32" s="1">
        <v>23</v>
      </c>
    </row>
    <row r="33" spans="2:43" ht="15" customHeight="1">
      <c r="B33" s="23">
        <f t="shared" si="9"/>
        <v>1</v>
      </c>
      <c r="C33" s="24">
        <f t="shared" si="23"/>
        <v>46015</v>
      </c>
      <c r="D33" s="47" t="str">
        <f t="shared" si="10"/>
        <v>水</v>
      </c>
      <c r="E33" s="25"/>
      <c r="F33" s="25"/>
      <c r="G33" s="25"/>
      <c r="H33" s="25"/>
      <c r="I33" s="25">
        <f t="shared" si="0"/>
        <v>0</v>
      </c>
      <c r="J33" s="25"/>
      <c r="K33" s="26"/>
      <c r="L33" s="26"/>
      <c r="M33" s="26"/>
      <c r="N33" s="27"/>
      <c r="O33" s="27"/>
      <c r="P33" s="27"/>
      <c r="Q33" s="27"/>
      <c r="R33" s="27"/>
      <c r="S33" s="27"/>
      <c r="T33" s="27"/>
      <c r="U33" s="27"/>
      <c r="V33" s="28" t="str">
        <f t="shared" si="11"/>
        <v/>
      </c>
      <c r="W33" s="28" t="str">
        <f t="shared" si="12"/>
        <v/>
      </c>
      <c r="X33" s="28" t="str">
        <f t="shared" si="13"/>
        <v/>
      </c>
      <c r="Y33" s="28" t="str">
        <f t="shared" si="14"/>
        <v/>
      </c>
      <c r="Z33" s="28" t="str">
        <f t="shared" si="15"/>
        <v/>
      </c>
      <c r="AA33" s="28" t="str">
        <f t="shared" si="16"/>
        <v/>
      </c>
      <c r="AB33" s="45"/>
      <c r="AC33" s="46">
        <f t="shared" si="2"/>
        <v>0</v>
      </c>
      <c r="AD33" s="46">
        <f t="shared" si="3"/>
        <v>0</v>
      </c>
      <c r="AE33" s="46">
        <f t="shared" si="17"/>
        <v>0</v>
      </c>
      <c r="AF33" s="46">
        <f t="shared" si="4"/>
        <v>0</v>
      </c>
      <c r="AG33" s="46">
        <f t="shared" si="5"/>
        <v>0</v>
      </c>
      <c r="AH33" s="46">
        <f t="shared" si="6"/>
        <v>0</v>
      </c>
      <c r="AI33" s="46">
        <f t="shared" si="18"/>
        <v>0</v>
      </c>
      <c r="AJ33" s="46">
        <f t="shared" si="19"/>
        <v>0</v>
      </c>
      <c r="AK33" s="46">
        <f t="shared" si="7"/>
        <v>0</v>
      </c>
      <c r="AL33" s="46">
        <f t="shared" si="20"/>
        <v>0</v>
      </c>
      <c r="AM33" s="51">
        <f t="shared" si="8"/>
        <v>0</v>
      </c>
      <c r="AN33" s="52">
        <f t="shared" si="21"/>
        <v>0.33333333333333331</v>
      </c>
      <c r="AO33" s="52">
        <f t="shared" si="22"/>
        <v>0.33333333333333331</v>
      </c>
      <c r="AQ33" s="1">
        <v>24</v>
      </c>
    </row>
    <row r="34" spans="2:43" ht="15" customHeight="1">
      <c r="B34" s="23">
        <f t="shared" si="9"/>
        <v>1</v>
      </c>
      <c r="C34" s="24">
        <f t="shared" si="23"/>
        <v>46016</v>
      </c>
      <c r="D34" s="47" t="str">
        <f t="shared" si="10"/>
        <v>木</v>
      </c>
      <c r="E34" s="25"/>
      <c r="F34" s="25"/>
      <c r="G34" s="25"/>
      <c r="H34" s="25"/>
      <c r="I34" s="25">
        <f t="shared" si="0"/>
        <v>0</v>
      </c>
      <c r="J34" s="25"/>
      <c r="K34" s="26"/>
      <c r="L34" s="26"/>
      <c r="M34" s="26"/>
      <c r="N34" s="27"/>
      <c r="O34" s="27"/>
      <c r="P34" s="27"/>
      <c r="Q34" s="27"/>
      <c r="R34" s="27"/>
      <c r="S34" s="27"/>
      <c r="T34" s="27"/>
      <c r="U34" s="27"/>
      <c r="V34" s="28" t="str">
        <f t="shared" si="11"/>
        <v/>
      </c>
      <c r="W34" s="28" t="str">
        <f t="shared" si="12"/>
        <v/>
      </c>
      <c r="X34" s="28" t="str">
        <f t="shared" si="13"/>
        <v/>
      </c>
      <c r="Y34" s="28" t="str">
        <f t="shared" si="14"/>
        <v/>
      </c>
      <c r="Z34" s="28" t="str">
        <f t="shared" si="15"/>
        <v/>
      </c>
      <c r="AA34" s="28" t="str">
        <f t="shared" si="16"/>
        <v/>
      </c>
      <c r="AB34" s="45"/>
      <c r="AC34" s="46">
        <f t="shared" si="2"/>
        <v>0</v>
      </c>
      <c r="AD34" s="46">
        <f t="shared" si="3"/>
        <v>0</v>
      </c>
      <c r="AE34" s="46">
        <f t="shared" si="17"/>
        <v>0</v>
      </c>
      <c r="AF34" s="46">
        <f t="shared" si="4"/>
        <v>0</v>
      </c>
      <c r="AG34" s="46">
        <f t="shared" si="5"/>
        <v>0</v>
      </c>
      <c r="AH34" s="46">
        <f t="shared" si="6"/>
        <v>0</v>
      </c>
      <c r="AI34" s="46">
        <f t="shared" si="18"/>
        <v>0</v>
      </c>
      <c r="AJ34" s="46">
        <f t="shared" si="19"/>
        <v>0</v>
      </c>
      <c r="AK34" s="46">
        <f t="shared" si="7"/>
        <v>0</v>
      </c>
      <c r="AL34" s="46">
        <f t="shared" si="20"/>
        <v>0</v>
      </c>
      <c r="AM34" s="51">
        <f t="shared" si="8"/>
        <v>0</v>
      </c>
      <c r="AN34" s="52">
        <f t="shared" si="21"/>
        <v>0.33333333333333331</v>
      </c>
      <c r="AO34" s="52">
        <f t="shared" si="22"/>
        <v>0.33333333333333331</v>
      </c>
      <c r="AQ34" s="1">
        <v>25</v>
      </c>
    </row>
    <row r="35" spans="2:43" ht="15" customHeight="1">
      <c r="B35" s="23">
        <f t="shared" si="9"/>
        <v>1</v>
      </c>
      <c r="C35" s="24">
        <f t="shared" si="23"/>
        <v>46017</v>
      </c>
      <c r="D35" s="47" t="str">
        <f t="shared" si="10"/>
        <v>金</v>
      </c>
      <c r="E35" s="25"/>
      <c r="F35" s="25"/>
      <c r="G35" s="25"/>
      <c r="H35" s="25"/>
      <c r="I35" s="25">
        <f t="shared" si="0"/>
        <v>0</v>
      </c>
      <c r="J35" s="25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8" t="str">
        <f t="shared" si="11"/>
        <v/>
      </c>
      <c r="W35" s="28" t="str">
        <f t="shared" si="12"/>
        <v/>
      </c>
      <c r="X35" s="28" t="str">
        <f t="shared" si="13"/>
        <v/>
      </c>
      <c r="Y35" s="28" t="str">
        <f t="shared" si="14"/>
        <v/>
      </c>
      <c r="Z35" s="28" t="str">
        <f t="shared" si="15"/>
        <v/>
      </c>
      <c r="AA35" s="28" t="str">
        <f t="shared" si="16"/>
        <v/>
      </c>
      <c r="AB35" s="45"/>
      <c r="AC35" s="46">
        <f t="shared" si="2"/>
        <v>0</v>
      </c>
      <c r="AD35" s="46">
        <f t="shared" si="3"/>
        <v>0</v>
      </c>
      <c r="AE35" s="46">
        <f t="shared" si="17"/>
        <v>0</v>
      </c>
      <c r="AF35" s="46">
        <f t="shared" si="4"/>
        <v>0</v>
      </c>
      <c r="AG35" s="46">
        <f t="shared" si="5"/>
        <v>0</v>
      </c>
      <c r="AH35" s="46">
        <f t="shared" si="6"/>
        <v>0</v>
      </c>
      <c r="AI35" s="46">
        <f t="shared" si="18"/>
        <v>0</v>
      </c>
      <c r="AJ35" s="46">
        <f t="shared" si="19"/>
        <v>0</v>
      </c>
      <c r="AK35" s="46">
        <f t="shared" si="7"/>
        <v>0</v>
      </c>
      <c r="AL35" s="46">
        <f t="shared" si="20"/>
        <v>0</v>
      </c>
      <c r="AM35" s="51">
        <f t="shared" si="8"/>
        <v>0</v>
      </c>
      <c r="AN35" s="52">
        <f t="shared" si="21"/>
        <v>0.33333333333333331</v>
      </c>
      <c r="AO35" s="52">
        <f t="shared" si="22"/>
        <v>0.33333333333333331</v>
      </c>
      <c r="AQ35" s="1">
        <v>26</v>
      </c>
    </row>
    <row r="36" spans="2:43" ht="15" customHeight="1">
      <c r="B36" s="23">
        <f t="shared" si="9"/>
        <v>0</v>
      </c>
      <c r="C36" s="24">
        <f t="shared" si="23"/>
        <v>46018</v>
      </c>
      <c r="D36" s="47" t="str">
        <f t="shared" si="10"/>
        <v>土</v>
      </c>
      <c r="E36" s="25"/>
      <c r="F36" s="25"/>
      <c r="G36" s="25"/>
      <c r="H36" s="25"/>
      <c r="I36" s="25">
        <f t="shared" si="0"/>
        <v>0</v>
      </c>
      <c r="J36" s="25"/>
      <c r="K36" s="26"/>
      <c r="L36" s="26"/>
      <c r="M36" s="26"/>
      <c r="N36" s="27"/>
      <c r="O36" s="27"/>
      <c r="P36" s="27"/>
      <c r="Q36" s="27"/>
      <c r="R36" s="27"/>
      <c r="S36" s="27"/>
      <c r="T36" s="27"/>
      <c r="U36" s="27"/>
      <c r="V36" s="28" t="str">
        <f t="shared" si="11"/>
        <v/>
      </c>
      <c r="W36" s="28" t="str">
        <f t="shared" si="12"/>
        <v/>
      </c>
      <c r="X36" s="28" t="str">
        <f t="shared" si="13"/>
        <v/>
      </c>
      <c r="Y36" s="28" t="str">
        <f t="shared" si="14"/>
        <v/>
      </c>
      <c r="Z36" s="28" t="str">
        <f t="shared" si="15"/>
        <v/>
      </c>
      <c r="AA36" s="28" t="str">
        <f t="shared" si="16"/>
        <v/>
      </c>
      <c r="AB36" s="45"/>
      <c r="AC36" s="46">
        <f t="shared" si="2"/>
        <v>0</v>
      </c>
      <c r="AD36" s="46">
        <f t="shared" si="3"/>
        <v>0</v>
      </c>
      <c r="AE36" s="46">
        <f t="shared" si="17"/>
        <v>0</v>
      </c>
      <c r="AF36" s="46">
        <f t="shared" si="4"/>
        <v>0</v>
      </c>
      <c r="AG36" s="46">
        <f t="shared" si="5"/>
        <v>0</v>
      </c>
      <c r="AH36" s="46">
        <f t="shared" si="6"/>
        <v>0</v>
      </c>
      <c r="AI36" s="46">
        <f t="shared" si="18"/>
        <v>0</v>
      </c>
      <c r="AJ36" s="46">
        <f t="shared" si="19"/>
        <v>0</v>
      </c>
      <c r="AK36" s="46">
        <f t="shared" si="7"/>
        <v>0</v>
      </c>
      <c r="AL36" s="46">
        <f t="shared" si="20"/>
        <v>0</v>
      </c>
      <c r="AM36" s="51">
        <f t="shared" si="8"/>
        <v>0</v>
      </c>
      <c r="AN36" s="52">
        <f t="shared" si="21"/>
        <v>0.33333333333333331</v>
      </c>
      <c r="AO36" s="52">
        <f t="shared" si="22"/>
        <v>0.33333333333333331</v>
      </c>
      <c r="AQ36" s="1">
        <v>27</v>
      </c>
    </row>
    <row r="37" spans="2:43" ht="15" customHeight="1">
      <c r="B37" s="23">
        <f t="shared" si="9"/>
        <v>0</v>
      </c>
      <c r="C37" s="24">
        <f t="shared" si="23"/>
        <v>46019</v>
      </c>
      <c r="D37" s="47" t="str">
        <f t="shared" si="10"/>
        <v>日</v>
      </c>
      <c r="E37" s="25"/>
      <c r="F37" s="25"/>
      <c r="G37" s="25"/>
      <c r="H37" s="25"/>
      <c r="I37" s="25">
        <f t="shared" si="0"/>
        <v>0</v>
      </c>
      <c r="J37" s="25"/>
      <c r="K37" s="26"/>
      <c r="L37" s="26"/>
      <c r="M37" s="26"/>
      <c r="N37" s="27"/>
      <c r="O37" s="27"/>
      <c r="P37" s="27"/>
      <c r="Q37" s="27"/>
      <c r="R37" s="27"/>
      <c r="S37" s="27"/>
      <c r="T37" s="27"/>
      <c r="U37" s="27"/>
      <c r="V37" s="28" t="str">
        <f t="shared" si="11"/>
        <v/>
      </c>
      <c r="W37" s="28" t="str">
        <f t="shared" si="12"/>
        <v/>
      </c>
      <c r="X37" s="28" t="str">
        <f t="shared" si="13"/>
        <v/>
      </c>
      <c r="Y37" s="28" t="str">
        <f t="shared" si="14"/>
        <v/>
      </c>
      <c r="Z37" s="28" t="str">
        <f t="shared" si="15"/>
        <v/>
      </c>
      <c r="AA37" s="28" t="str">
        <f t="shared" si="16"/>
        <v/>
      </c>
      <c r="AB37" s="45"/>
      <c r="AC37" s="46">
        <f t="shared" si="2"/>
        <v>0</v>
      </c>
      <c r="AD37" s="46">
        <f t="shared" si="3"/>
        <v>0</v>
      </c>
      <c r="AE37" s="46">
        <f t="shared" si="17"/>
        <v>0</v>
      </c>
      <c r="AF37" s="46">
        <f t="shared" si="4"/>
        <v>0</v>
      </c>
      <c r="AG37" s="46">
        <f t="shared" si="5"/>
        <v>0</v>
      </c>
      <c r="AH37" s="46">
        <f t="shared" si="6"/>
        <v>0</v>
      </c>
      <c r="AI37" s="46">
        <f t="shared" si="18"/>
        <v>0</v>
      </c>
      <c r="AJ37" s="46">
        <f t="shared" si="19"/>
        <v>0</v>
      </c>
      <c r="AK37" s="46">
        <f t="shared" si="7"/>
        <v>0</v>
      </c>
      <c r="AL37" s="46">
        <f t="shared" si="20"/>
        <v>0</v>
      </c>
      <c r="AM37" s="51">
        <f t="shared" si="8"/>
        <v>0</v>
      </c>
      <c r="AN37" s="52">
        <f t="shared" si="21"/>
        <v>0.33333333333333331</v>
      </c>
      <c r="AO37" s="52">
        <f t="shared" si="22"/>
        <v>0.33333333333333331</v>
      </c>
      <c r="AQ37" s="1">
        <v>28</v>
      </c>
    </row>
    <row r="38" spans="2:43" ht="15" customHeight="1">
      <c r="B38" s="23">
        <f t="shared" si="9"/>
        <v>1</v>
      </c>
      <c r="C38" s="24">
        <f t="shared" si="23"/>
        <v>46020</v>
      </c>
      <c r="D38" s="47" t="str">
        <f t="shared" si="10"/>
        <v>月</v>
      </c>
      <c r="E38" s="25"/>
      <c r="F38" s="25"/>
      <c r="G38" s="25"/>
      <c r="H38" s="25"/>
      <c r="I38" s="25">
        <f t="shared" si="0"/>
        <v>0</v>
      </c>
      <c r="J38" s="25"/>
      <c r="K38" s="26"/>
      <c r="L38" s="26"/>
      <c r="M38" s="26"/>
      <c r="N38" s="27"/>
      <c r="O38" s="27"/>
      <c r="P38" s="27"/>
      <c r="Q38" s="27"/>
      <c r="R38" s="27"/>
      <c r="S38" s="27"/>
      <c r="T38" s="27"/>
      <c r="U38" s="27"/>
      <c r="V38" s="28" t="str">
        <f t="shared" si="11"/>
        <v/>
      </c>
      <c r="W38" s="28" t="str">
        <f t="shared" si="12"/>
        <v/>
      </c>
      <c r="X38" s="28" t="str">
        <f t="shared" si="13"/>
        <v/>
      </c>
      <c r="Y38" s="28" t="str">
        <f t="shared" si="14"/>
        <v/>
      </c>
      <c r="Z38" s="28" t="str">
        <f t="shared" si="15"/>
        <v/>
      </c>
      <c r="AA38" s="28" t="str">
        <f t="shared" si="16"/>
        <v/>
      </c>
      <c r="AB38" s="45"/>
      <c r="AC38" s="46">
        <f t="shared" si="2"/>
        <v>0</v>
      </c>
      <c r="AD38" s="46">
        <f t="shared" si="3"/>
        <v>0</v>
      </c>
      <c r="AE38" s="46">
        <f t="shared" si="17"/>
        <v>0</v>
      </c>
      <c r="AF38" s="46">
        <f t="shared" si="4"/>
        <v>0</v>
      </c>
      <c r="AG38" s="46">
        <f t="shared" si="5"/>
        <v>0</v>
      </c>
      <c r="AH38" s="46">
        <f t="shared" si="6"/>
        <v>0</v>
      </c>
      <c r="AI38" s="46">
        <f t="shared" si="18"/>
        <v>0</v>
      </c>
      <c r="AJ38" s="46">
        <f t="shared" si="19"/>
        <v>0</v>
      </c>
      <c r="AK38" s="46">
        <f t="shared" si="7"/>
        <v>0</v>
      </c>
      <c r="AL38" s="46">
        <f t="shared" si="20"/>
        <v>0</v>
      </c>
      <c r="AM38" s="51">
        <f t="shared" si="8"/>
        <v>0</v>
      </c>
      <c r="AN38" s="52">
        <f t="shared" si="21"/>
        <v>0.33333333333333331</v>
      </c>
      <c r="AO38" s="52">
        <f t="shared" si="22"/>
        <v>0.33333333333333331</v>
      </c>
      <c r="AQ38" s="1">
        <v>29</v>
      </c>
    </row>
    <row r="39" spans="2:43" ht="15" customHeight="1">
      <c r="B39" s="23">
        <f t="shared" si="9"/>
        <v>1</v>
      </c>
      <c r="C39" s="24">
        <f t="shared" si="23"/>
        <v>46021</v>
      </c>
      <c r="D39" s="47" t="str">
        <f t="shared" si="10"/>
        <v>火</v>
      </c>
      <c r="E39" s="25"/>
      <c r="F39" s="25"/>
      <c r="G39" s="25"/>
      <c r="H39" s="25"/>
      <c r="I39" s="25">
        <f t="shared" si="0"/>
        <v>0</v>
      </c>
      <c r="J39" s="25"/>
      <c r="K39" s="26"/>
      <c r="L39" s="26"/>
      <c r="M39" s="26"/>
      <c r="N39" s="27"/>
      <c r="O39" s="27"/>
      <c r="P39" s="27"/>
      <c r="Q39" s="27"/>
      <c r="R39" s="27"/>
      <c r="S39" s="27"/>
      <c r="T39" s="27"/>
      <c r="U39" s="27"/>
      <c r="V39" s="28" t="str">
        <f t="shared" si="11"/>
        <v/>
      </c>
      <c r="W39" s="28" t="str">
        <f t="shared" si="12"/>
        <v/>
      </c>
      <c r="X39" s="28" t="str">
        <f t="shared" si="13"/>
        <v/>
      </c>
      <c r="Y39" s="28" t="str">
        <f t="shared" si="14"/>
        <v/>
      </c>
      <c r="Z39" s="28" t="str">
        <f t="shared" si="15"/>
        <v/>
      </c>
      <c r="AA39" s="28" t="str">
        <f t="shared" si="16"/>
        <v/>
      </c>
      <c r="AB39" s="45"/>
      <c r="AC39" s="46">
        <f t="shared" si="2"/>
        <v>0</v>
      </c>
      <c r="AD39" s="46">
        <f t="shared" si="3"/>
        <v>0</v>
      </c>
      <c r="AE39" s="46">
        <f t="shared" si="17"/>
        <v>0</v>
      </c>
      <c r="AF39" s="46">
        <f t="shared" si="4"/>
        <v>0</v>
      </c>
      <c r="AG39" s="46">
        <f t="shared" si="5"/>
        <v>0</v>
      </c>
      <c r="AH39" s="46">
        <f t="shared" si="6"/>
        <v>0</v>
      </c>
      <c r="AI39" s="46">
        <f t="shared" si="18"/>
        <v>0</v>
      </c>
      <c r="AJ39" s="46">
        <f t="shared" si="19"/>
        <v>0</v>
      </c>
      <c r="AK39" s="46">
        <f t="shared" si="7"/>
        <v>0</v>
      </c>
      <c r="AL39" s="46">
        <f t="shared" si="20"/>
        <v>0</v>
      </c>
      <c r="AM39" s="51">
        <f t="shared" si="8"/>
        <v>0</v>
      </c>
      <c r="AN39" s="52">
        <f t="shared" si="21"/>
        <v>0.33333333333333331</v>
      </c>
      <c r="AO39" s="52">
        <f t="shared" si="22"/>
        <v>0.33333333333333331</v>
      </c>
      <c r="AQ39" s="1">
        <v>30</v>
      </c>
    </row>
    <row r="40" spans="2:43" ht="15" customHeight="1">
      <c r="B40" s="23">
        <f t="shared" si="9"/>
        <v>1</v>
      </c>
      <c r="C40" s="24">
        <f>IFERROR(IF(AND(ISNUMBER(C39), MONTH(C39+1) = MONTH($C$10), C39+1 &lt;= EOMONTH($C$10, 0)), C39+1, ""), "")</f>
        <v>46022</v>
      </c>
      <c r="D40" s="47" t="str">
        <f t="shared" si="10"/>
        <v>水</v>
      </c>
      <c r="E40" s="25"/>
      <c r="F40" s="25"/>
      <c r="G40" s="25"/>
      <c r="H40" s="25"/>
      <c r="I40" s="25">
        <f t="shared" si="0"/>
        <v>0</v>
      </c>
      <c r="J40" s="25"/>
      <c r="K40" s="26"/>
      <c r="L40" s="26"/>
      <c r="M40" s="26"/>
      <c r="N40" s="27"/>
      <c r="O40" s="27"/>
      <c r="P40" s="27"/>
      <c r="Q40" s="27"/>
      <c r="R40" s="27"/>
      <c r="S40" s="27"/>
      <c r="T40" s="27"/>
      <c r="U40" s="27"/>
      <c r="V40" s="28" t="str">
        <f t="shared" si="11"/>
        <v/>
      </c>
      <c r="W40" s="28" t="str">
        <f t="shared" si="12"/>
        <v/>
      </c>
      <c r="X40" s="28" t="str">
        <f t="shared" si="13"/>
        <v/>
      </c>
      <c r="Y40" s="28" t="str">
        <f t="shared" si="14"/>
        <v/>
      </c>
      <c r="Z40" s="28" t="str">
        <f t="shared" si="15"/>
        <v/>
      </c>
      <c r="AA40" s="28" t="str">
        <f t="shared" si="16"/>
        <v/>
      </c>
      <c r="AB40" s="45"/>
      <c r="AC40" s="46">
        <f t="shared" si="2"/>
        <v>0</v>
      </c>
      <c r="AD40" s="46">
        <f t="shared" si="3"/>
        <v>0</v>
      </c>
      <c r="AE40" s="46">
        <f t="shared" si="17"/>
        <v>0</v>
      </c>
      <c r="AF40" s="46">
        <f t="shared" si="4"/>
        <v>0</v>
      </c>
      <c r="AG40" s="46">
        <f t="shared" si="5"/>
        <v>0</v>
      </c>
      <c r="AH40" s="46">
        <f t="shared" si="6"/>
        <v>0</v>
      </c>
      <c r="AI40" s="46">
        <f t="shared" si="18"/>
        <v>0</v>
      </c>
      <c r="AJ40" s="46">
        <f t="shared" si="19"/>
        <v>0</v>
      </c>
      <c r="AK40" s="46">
        <f t="shared" si="7"/>
        <v>0</v>
      </c>
      <c r="AL40" s="46">
        <f t="shared" si="20"/>
        <v>0</v>
      </c>
      <c r="AM40" s="51">
        <f t="shared" si="8"/>
        <v>0</v>
      </c>
      <c r="AN40" s="52">
        <f t="shared" si="21"/>
        <v>0.33333333333333331</v>
      </c>
      <c r="AO40" s="52">
        <f t="shared" si="22"/>
        <v>0.33333333333333331</v>
      </c>
      <c r="AQ40" s="1">
        <v>31</v>
      </c>
    </row>
    <row r="41" spans="2:43" ht="30" customHeight="1">
      <c r="B41" s="29" t="s">
        <v>48</v>
      </c>
      <c r="C41" s="30"/>
      <c r="D41" s="14"/>
      <c r="E41" s="31"/>
      <c r="F41" s="31"/>
      <c r="G41" s="31"/>
      <c r="H41" s="32"/>
      <c r="I41" s="32"/>
      <c r="J41" s="33"/>
      <c r="K41" s="34">
        <f>SUM(K10:K40)</f>
        <v>0</v>
      </c>
      <c r="L41" s="34">
        <f>SUM(L10:L40)</f>
        <v>0</v>
      </c>
      <c r="M41" s="34">
        <f>SUM(M10:M40)</f>
        <v>0</v>
      </c>
      <c r="N41" s="33">
        <f>COUNTIF(N10:N40, "○")</f>
        <v>0</v>
      </c>
      <c r="O41" s="33">
        <f t="shared" ref="O41:U41" si="24">COUNTIF(O10:O40, "○")</f>
        <v>0</v>
      </c>
      <c r="P41" s="33">
        <f t="shared" si="24"/>
        <v>0</v>
      </c>
      <c r="Q41" s="33">
        <f t="shared" si="24"/>
        <v>0</v>
      </c>
      <c r="R41" s="33">
        <f t="shared" si="24"/>
        <v>0</v>
      </c>
      <c r="S41" s="33">
        <f t="shared" si="24"/>
        <v>0</v>
      </c>
      <c r="T41" s="33">
        <f t="shared" si="24"/>
        <v>0</v>
      </c>
      <c r="U41" s="33">
        <f t="shared" si="24"/>
        <v>0</v>
      </c>
      <c r="V41" s="70">
        <f t="shared" ref="V41:AA41" si="25">SUM(V10:V40)</f>
        <v>0</v>
      </c>
      <c r="W41" s="70">
        <f t="shared" si="25"/>
        <v>0</v>
      </c>
      <c r="X41" s="70">
        <f t="shared" si="25"/>
        <v>0</v>
      </c>
      <c r="Y41" s="70">
        <f t="shared" si="25"/>
        <v>0</v>
      </c>
      <c r="Z41" s="70">
        <f t="shared" si="25"/>
        <v>0</v>
      </c>
      <c r="AA41" s="70">
        <f t="shared" si="25"/>
        <v>0</v>
      </c>
      <c r="AB41" s="35"/>
      <c r="AC41" s="35"/>
      <c r="AD41" s="36"/>
      <c r="AE41" s="35"/>
      <c r="AF41" s="36"/>
      <c r="AG41" s="35"/>
      <c r="AH41" s="35"/>
      <c r="AI41" s="36"/>
      <c r="AJ41" s="35"/>
      <c r="AK41" s="35"/>
      <c r="AL41" s="36"/>
    </row>
    <row r="42" spans="2:43" ht="32" customHeight="1">
      <c r="B42" s="37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6"/>
      <c r="W42" s="36"/>
      <c r="X42" s="36"/>
      <c r="Y42" s="36"/>
      <c r="Z42" s="36"/>
    </row>
    <row r="43" spans="2:43" ht="34" customHeight="1" thickBot="1">
      <c r="B43" s="39" t="s">
        <v>49</v>
      </c>
      <c r="C43" s="39"/>
      <c r="W43" s="36"/>
      <c r="X43" s="36"/>
      <c r="Y43" s="36"/>
      <c r="Z43" s="36"/>
    </row>
    <row r="44" spans="2:43">
      <c r="B44" s="40"/>
      <c r="C44" s="40"/>
      <c r="D44" s="82" t="s">
        <v>50</v>
      </c>
      <c r="E44" s="82" t="s">
        <v>51</v>
      </c>
      <c r="F44" s="83" t="s">
        <v>52</v>
      </c>
      <c r="G44" s="83" t="s">
        <v>53</v>
      </c>
      <c r="H44" s="83" t="s">
        <v>54</v>
      </c>
      <c r="I44" s="84" t="s">
        <v>55</v>
      </c>
      <c r="J44" s="83" t="s">
        <v>56</v>
      </c>
      <c r="K44" s="83" t="s">
        <v>57</v>
      </c>
      <c r="L44" s="83" t="s">
        <v>58</v>
      </c>
      <c r="M44" s="83" t="s">
        <v>59</v>
      </c>
      <c r="N44" s="83" t="s">
        <v>60</v>
      </c>
      <c r="O44" s="83" t="s">
        <v>61</v>
      </c>
      <c r="P44" s="83" t="s">
        <v>62</v>
      </c>
      <c r="Q44" s="84" t="s">
        <v>63</v>
      </c>
      <c r="R44" s="84" t="s">
        <v>64</v>
      </c>
      <c r="S44" s="84" t="s">
        <v>65</v>
      </c>
      <c r="T44" s="83" t="s">
        <v>66</v>
      </c>
      <c r="U44" s="83" t="s">
        <v>67</v>
      </c>
    </row>
    <row r="45" spans="2:43">
      <c r="B45" s="38"/>
      <c r="C45" s="38"/>
      <c r="D45" s="78" t="str">
        <f>TEXT(D4,"000000")</f>
        <v>000000</v>
      </c>
      <c r="E45" s="78">
        <f>D5</f>
        <v>0</v>
      </c>
      <c r="F45" s="79">
        <f>N41</f>
        <v>0</v>
      </c>
      <c r="G45" s="79">
        <f>O41</f>
        <v>0</v>
      </c>
      <c r="H45" s="79" t="str">
        <f>IF(OR(ISBLANK(U41), U41=0), "*", U41)</f>
        <v>*</v>
      </c>
      <c r="I45" s="79" t="s">
        <v>68</v>
      </c>
      <c r="J45" s="80" t="str" cm="1">
        <f t="array" ref="J45">IF(AND(OR(ISBLANK(P41), P41=0), OR(ISBLANK(SUMPRODUCT(--(ISNUMBER(K8:K40))*(K8:K40&lt;&gt;0))), SUMPRODUCT(--(ISNUMBER(K8:K40))*(K8:K40&lt;&gt;0))=0)), "*", P41 + (SUMPRODUCT(--(ISNUMBER(K8:K40))*(K8:K40&lt;&gt;0)) / 2))</f>
        <v>*</v>
      </c>
      <c r="K45" s="79" t="str">
        <f>IF(OR(ISBLANK(Q41), Q41=0), "*", Q41)</f>
        <v>*</v>
      </c>
      <c r="L45" s="79" t="str">
        <f>IF(OR(ISBLANK(R41), R41=0), "*", R41)</f>
        <v>*</v>
      </c>
      <c r="M45" s="81" t="str">
        <f>IF(OR(ISBLANK(V41), V41&lt;=0), "*", VALUE(V41))</f>
        <v>*</v>
      </c>
      <c r="N45" s="81" t="str">
        <f>IF(OR(W41&lt;=0, ROUND(VALUE(W41)-"10:00", 8)&lt;=0),"*",VALUE(W41)-"10:00")</f>
        <v>*</v>
      </c>
      <c r="O45" s="81" t="str">
        <f>IF(MIN(X41,ROUND(IF(N45="*",0,N45)+IF(P45="*",0,P45),8))=0,"*",MIN(X41,ROUND(IF(N45="*",0,N45)+IF(P45="*",0,P45),8)))</f>
        <v>*</v>
      </c>
      <c r="P45" s="81" t="str">
        <f>IF(ROUND(MAX(0,Y41-MAX(0,"10:00"-(W41&gt;0)*W41)),8)&lt;=0,"*",MAX(0,Y41-MAX(0,"10:00"-(W41&gt;0)*W41)))</f>
        <v>*</v>
      </c>
      <c r="Q45" s="79" t="s">
        <v>68</v>
      </c>
      <c r="R45" s="79" t="s">
        <v>68</v>
      </c>
      <c r="S45" s="79" t="s">
        <v>68</v>
      </c>
      <c r="T45" s="79" t="str">
        <f>IF(COUNTIF(L10:M40, "&lt;&gt;")=0, "*", IF(COUNTIF(L10:M40, 0)&gt;0, "*", COUNTIF(L10:M40, "&lt;&gt;")))</f>
        <v>*</v>
      </c>
      <c r="U45" s="81" t="str">
        <f>IF(OR(ISBLANK(Z41+AA41), (Z41+AA41)&lt;=0), "*", VALUE(Z41+AA41))</f>
        <v>*</v>
      </c>
    </row>
  </sheetData>
  <mergeCells count="13">
    <mergeCell ref="O2:P2"/>
    <mergeCell ref="B4:C4"/>
    <mergeCell ref="L3:AA5"/>
    <mergeCell ref="B2:C3"/>
    <mergeCell ref="D4:F4"/>
    <mergeCell ref="J4:K4"/>
    <mergeCell ref="D5:K5"/>
    <mergeCell ref="M2:N2"/>
    <mergeCell ref="I2:K2"/>
    <mergeCell ref="D3:F3"/>
    <mergeCell ref="I3:J3"/>
    <mergeCell ref="G3:H3"/>
    <mergeCell ref="D2:H2"/>
  </mergeCells>
  <phoneticPr fontId="1"/>
  <conditionalFormatting sqref="C10:C40">
    <cfRule type="expression" priority="2">
      <formula>$B10=0</formula>
    </cfRule>
  </conditionalFormatting>
  <conditionalFormatting sqref="C10:D40">
    <cfRule type="expression" dxfId="2" priority="1">
      <formula>$B10=0</formula>
    </cfRule>
  </conditionalFormatting>
  <conditionalFormatting sqref="G10:G40">
    <cfRule type="expression" dxfId="1" priority="3">
      <formula>AE10&gt;=1.000001</formula>
    </cfRule>
  </conditionalFormatting>
  <conditionalFormatting sqref="H10:H40">
    <cfRule type="expression" dxfId="0" priority="4">
      <formula>AE10&gt;=1.000001</formula>
    </cfRule>
  </conditionalFormatting>
  <dataValidations count="9">
    <dataValidation type="list" allowBlank="1" showInputMessage="1" showErrorMessage="1" sqref="D2" xr:uid="{F7178D89-8198-DC4E-B6E5-4275518BB33E}">
      <formula1>"ユーニスイースト,ユーニスウエスト"</formula1>
    </dataValidation>
    <dataValidation type="list" operator="equal" allowBlank="1" showInputMessage="1" showErrorMessage="1" sqref="N10:U40" xr:uid="{29B4897C-16FA-3D41-B40F-8E9CBD7A0CDD}">
      <formula1>",○"</formula1>
    </dataValidation>
    <dataValidation type="list" allowBlank="1" showInputMessage="1" showErrorMessage="1" sqref="M2" xr:uid="{275AFA2A-4BA5-FA48-82B6-1E4D0EE3A918}">
      <formula1>"2025,2026,2027,2028,2029,2030,2031,2032,2033,2034,2035,2036,2037,2038,2039,2040,2041,2042,2043,2044,2045,2046,2047,2048,2049,2050"</formula1>
    </dataValidation>
    <dataValidation type="list" allowBlank="1" showInputMessage="1" showErrorMessage="1" sqref="I2" xr:uid="{F87989B7-3635-A244-A9ED-66AAF34B04D6}">
      <formula1>"東京支社,名古屋支社,大阪支社"</formula1>
    </dataValidation>
    <dataValidation type="list" allowBlank="1" showInputMessage="1" showErrorMessage="1" sqref="O2" xr:uid="{FC3F328D-635A-496C-9900-E56143AA62A6}">
      <formula1>"1,2,3,4,5,6,7,8,9,10,11,12"</formula1>
    </dataValidation>
    <dataValidation type="list" allowBlank="1" showInputMessage="1" showErrorMessage="1" sqref="D3" xr:uid="{9CA8B60E-4AB5-4C5B-900D-2714AF060D61}">
      <formula1>"1,2,3,4,5"</formula1>
    </dataValidation>
    <dataValidation type="list" allowBlank="1" showInputMessage="1" showErrorMessage="1" sqref="K3" xr:uid="{4311093D-8F41-4975-A814-A09135CA7049}">
      <formula1>"1,2,3,4,5"</formula1>
    </dataValidation>
    <dataValidation type="whole" operator="between" allowBlank="1" showInputMessage="1" showErrorMessage="1" sqref="D4" xr:uid="{55238C5F-FD40-45B8-B9F3-409443BDADA8}">
      <formula1>0</formula1>
      <formula2>9999999999</formula2>
    </dataValidation>
    <dataValidation type="time" operator="between" allowBlank="1" showInputMessage="1" showErrorMessage="1" sqref="J4" xr:uid="{029AFA8F-43DE-4722-825C-C116DC441F2E}">
      <formula1>0</formula1>
      <formula2>1</formula2>
    </dataValidation>
  </dataValidations>
  <pageMargins left="0.25" right="0.25" top="0.75" bottom="0.75" header="0.3" footer="0.3"/>
  <pageSetup paperSize="9" scale="61" orientation="portrait" r:id="rId1"/>
  <colBreaks count="1" manualBreakCount="1">
    <brk id="2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ユーニス勤務表2025改良版</vt:lpstr>
      <vt:lpstr>ユーニス勤務表2025改良版!Print_Area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川崎 和洋</dc:creator>
  <cp:lastModifiedBy>角谷 亮洋</cp:lastModifiedBy>
  <cp:lastPrinted>2025-09-24T02:16:05Z</cp:lastPrinted>
  <dcterms:created xsi:type="dcterms:W3CDTF">2025-07-15T08:05:03Z</dcterms:created>
  <dcterms:modified xsi:type="dcterms:W3CDTF">2026-01-12T11:01:36Z</dcterms:modified>
</cp:coreProperties>
</file>